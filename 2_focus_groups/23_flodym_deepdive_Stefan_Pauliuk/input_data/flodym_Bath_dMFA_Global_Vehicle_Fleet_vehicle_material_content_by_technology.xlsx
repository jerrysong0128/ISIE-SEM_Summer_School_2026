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8F85DA4-4EEE-4D91-BFEE-08E33F0BD27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Data" sheetId="2" r:id="rId2"/>
    <sheet name="Ancillary calcul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8" i="4" l="1"/>
  <c r="K23" i="4"/>
  <c r="I17" i="4"/>
  <c r="J17" i="4"/>
  <c r="K17" i="4" s="1"/>
  <c r="I18" i="4"/>
  <c r="J18" i="4"/>
  <c r="I19" i="4"/>
  <c r="J19" i="4"/>
  <c r="I20" i="4"/>
  <c r="K20" i="4" s="1"/>
  <c r="J20" i="4"/>
  <c r="I21" i="4"/>
  <c r="K21" i="4" s="1"/>
  <c r="J21" i="4"/>
  <c r="I22" i="4"/>
  <c r="K22" i="4" s="1"/>
  <c r="J22" i="4"/>
  <c r="I23" i="4"/>
  <c r="J23" i="4"/>
  <c r="J16" i="4"/>
  <c r="I16" i="4"/>
  <c r="K16" i="4" s="1"/>
  <c r="I8" i="4"/>
  <c r="J8" i="4"/>
  <c r="I9" i="4"/>
  <c r="J9" i="4"/>
  <c r="I10" i="4"/>
  <c r="J10" i="4"/>
  <c r="J7" i="4"/>
  <c r="I7" i="4"/>
  <c r="F10" i="4" a="1"/>
  <c r="F10" i="4" s="1"/>
  <c r="K10" i="4" s="1"/>
  <c r="F9" i="4" a="1"/>
  <c r="F9" i="4" s="1"/>
  <c r="K9" i="4" s="1"/>
  <c r="F8" i="4" a="1"/>
  <c r="F8" i="4" s="1"/>
  <c r="K8" i="4" s="1"/>
  <c r="F7" i="4" a="1"/>
  <c r="F7" i="4" s="1"/>
  <c r="K7" i="4" s="1"/>
  <c r="K19" i="4" l="1"/>
</calcChain>
</file>

<file path=xl/sharedStrings.xml><?xml version="1.0" encoding="utf-8"?>
<sst xmlns="http://schemas.openxmlformats.org/spreadsheetml/2006/main" count="351" uniqueCount="141">
  <si>
    <t>Format_Version</t>
  </si>
  <si>
    <t>Dataset_Unit</t>
  </si>
  <si>
    <t>Dataset_RecordType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</si>
  <si>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</si>
  <si>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</si>
  <si>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</si>
  <si>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</si>
  <si>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</si>
  <si>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</si>
  <si>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</si>
  <si>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</si>
  <si>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</si>
  <si>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</si>
  <si>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</si>
  <si>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</si>
  <si>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>none</t>
  </si>
  <si>
    <t>kg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</si>
  <si>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</si>
  <si>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</si>
  <si>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</si>
  <si>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</si>
  <si>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</si>
  <si>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</si>
  <si>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</si>
  <si>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</si>
  <si>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</si>
  <si>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</si>
  <si>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</si>
  <si>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</si>
  <si>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</si>
  <si>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</si>
  <si>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</si>
  <si>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</si>
  <si>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</si>
  <si>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</si>
  <si>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</si>
  <si>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</si>
  <si>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</si>
  <si>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ODYM_Classifications_Master_Tutorial</t>
  </si>
  <si>
    <t># Version number of classifications used for this dataset</t>
  </si>
  <si>
    <t># Two types are supported: list and table</t>
  </si>
  <si>
    <t>Material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</si>
  <si>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</si>
  <si>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</si>
  <si>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</si>
  <si>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</si>
  <si>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</si>
  <si>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</si>
  <si>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</si>
  <si>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</si>
  <si>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</si>
  <si>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Products_m3</t>
  </si>
  <si>
    <t xml:space="preserve"># Aspects: Specify aspects in order of appearance in data table. </t>
  </si>
  <si>
    <t># Aspects_Meaning: Describe meaning of each aspect</t>
  </si>
  <si>
    <t>Region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</si>
  <si>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</si>
  <si>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</si>
  <si>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</si>
  <si>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</si>
  <si>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</si>
  <si>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Age-cohort</t>
  </si>
  <si>
    <t>46afc0b7-ca11-4562-93ff-5340ba7623fb</t>
  </si>
  <si>
    <t>ODYM_Tutorial5_VehicleMaterialContent</t>
  </si>
  <si>
    <t>Material composition of passenger vehicles, for ODYM tutorial, taken from various literature sources.</t>
  </si>
  <si>
    <t>130_Countries</t>
  </si>
  <si>
    <t>Time</t>
  </si>
  <si>
    <t>Product (passenger vehicle)</t>
  </si>
  <si>
    <t>Automotive steel</t>
  </si>
  <si>
    <t>Cast iron</t>
  </si>
  <si>
    <t>Copper electric grade</t>
  </si>
  <si>
    <t>Zinc</t>
  </si>
  <si>
    <t>Manganese</t>
  </si>
  <si>
    <t>Molybdene</t>
  </si>
  <si>
    <t>Vanadium</t>
  </si>
  <si>
    <t>Cobalt</t>
  </si>
  <si>
    <t>Neodymium</t>
  </si>
  <si>
    <t>Tantalum</t>
  </si>
  <si>
    <t>Aluminium</t>
  </si>
  <si>
    <t>Magnesium</t>
  </si>
  <si>
    <t>Lead</t>
  </si>
  <si>
    <t>Platinum</t>
  </si>
  <si>
    <t>Paladium</t>
  </si>
  <si>
    <t>Rhodium</t>
  </si>
  <si>
    <t>Arsenic</t>
  </si>
  <si>
    <t>Antimony</t>
  </si>
  <si>
    <t>Plastics</t>
  </si>
  <si>
    <t>Rubber</t>
  </si>
  <si>
    <t>Glass</t>
  </si>
  <si>
    <t>Ceramics</t>
  </si>
  <si>
    <t>Silicon</t>
  </si>
  <si>
    <t>Carbon black</t>
  </si>
  <si>
    <t>Cromium</t>
  </si>
  <si>
    <t>min</t>
  </si>
  <si>
    <t>max</t>
  </si>
  <si>
    <t>avg</t>
  </si>
  <si>
    <t>g/unit</t>
  </si>
  <si>
    <t>Ta</t>
  </si>
  <si>
    <t>Variations from IEDC dataset 3_MC_MetalDemand_DEETMAN_2018</t>
  </si>
  <si>
    <t>kg/kg</t>
  </si>
  <si>
    <t>Nd</t>
  </si>
  <si>
    <t>Co</t>
  </si>
  <si>
    <t>Cu</t>
  </si>
  <si>
    <t>kg/unit</t>
  </si>
  <si>
    <t>13;0.0011;0.008;none</t>
  </si>
  <si>
    <t>13;0.002;0.415;none</t>
  </si>
  <si>
    <t>13;0.027;0.035;none</t>
  </si>
  <si>
    <t>13;22.3;27.233;none</t>
  </si>
  <si>
    <t>Variations from IEDC dataset 3_MC_NACEv2_4000Groups</t>
  </si>
  <si>
    <t>Weight conversion with average weight (1500 kg) of two groups 29102310 and 29102330.</t>
  </si>
  <si>
    <t>Steel</t>
  </si>
  <si>
    <t>Al_Metal</t>
  </si>
  <si>
    <t>Cu_Metal</t>
  </si>
  <si>
    <t>Cr</t>
  </si>
  <si>
    <t>Mn</t>
  </si>
  <si>
    <t>Mo</t>
  </si>
  <si>
    <t>V</t>
  </si>
  <si>
    <t>13;653.25;1296.75;none</t>
  </si>
  <si>
    <t>13;0;195;none</t>
  </si>
  <si>
    <t>13;0;45;none</t>
  </si>
  <si>
    <t>13;150;450;none</t>
  </si>
  <si>
    <t>13;0;12.15;none</t>
  </si>
  <si>
    <t>13;0;2.43;none</t>
  </si>
  <si>
    <t>13;0;0.729;none</t>
  </si>
  <si>
    <t>from IEDC dataset 3_MC_NACEv2_4000Groups, for group 29102310 (Motor vehicles with a diesel or semi-diesel engine &lt;= 1500 cm³), uncertainty taken from range specified, modelled as uniform distribution, cf. sheet 'Ancillary calculation'</t>
  </si>
  <si>
    <t>from IEDC dataset 3_MC_MetalDemand_DEETMAN_2018</t>
  </si>
  <si>
    <t>= transferred to Values_Master</t>
  </si>
  <si>
    <t>from IEDC dataset 3_MC_Vehicles_Hawkins_2012, for vehicle type "passenger vehicle, internal combustion engine", uncertainty estimated to +/- 20%</t>
  </si>
  <si>
    <t>from IEDC dataset 3_MC_Vehicles_Hawkins_2012, for vehicle type "passenger vehicle, internal combustion engine", uncertainty estimated to +/- 50%</t>
  </si>
  <si>
    <t>from IEDC dataset 3_MC_Vehicles_Hawkins_2012, for vehicle type "passenger vehicle, internal combustion engine", uncertainty estimated to +/- 30%</t>
  </si>
  <si>
    <t>Average material content, in kg/unit</t>
  </si>
  <si>
    <t>Unit nominator of material content</t>
  </si>
  <si>
    <t>Unit denominator of material content</t>
  </si>
  <si>
    <t>Engineering_Materials_m2</t>
  </si>
  <si>
    <t>from IEDC dataset 3_MC_NACEv2_4000Groups, for group 29102310 (Motor vehicles with a diesel or semi-diesel engine &lt;= 1500 cm³), uncertainty taken from range specified, modelled as uniform distribution, cf. sheet 'Ancillary calculation', but for lower boundary, -50% was assumed.</t>
  </si>
  <si>
    <t>material</t>
  </si>
  <si>
    <t>gasoline passenger car</t>
  </si>
  <si>
    <t>electric passenger cars</t>
  </si>
  <si>
    <t>Wolfram et al. JIE 2022</t>
  </si>
  <si>
    <t>assumption</t>
  </si>
  <si>
    <t>typical value</t>
  </si>
  <si>
    <t>drive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</si>
</sst>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0" fillId="0" borderId="0" xfId="0" applyFill="1" applyBorder="1"/>
    <xf numFmtId="0" fontId="1" fillId="0" borderId="0" xfId="0" applyFont="1" applyBorder="1"/>
    <xf numFmtId="0" fontId="0" fillId="0" borderId="0" xfId="0" applyFont="1" applyBorder="1"/>
    <xf numFmtId="0" fontId="0" fillId="0" borderId="0" xfId="0" applyBorder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3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quotePrefix="1" applyFont="1"/>
    <xf numFmtId="0" fontId="0" fillId="2" borderId="0" xfId="0" applyFont="1" applyFill="1"/>
    <xf numFmtId="0" fontId="3" fillId="2" borderId="0" xfId="0" applyFont="1" applyFill="1"/>
    <xf numFmtId="0" fontId="2" fillId="0" borderId="0" xfId="0" applyFont="1" applyFill="1" applyBorder="1" applyAlignment="1" applyProtection="1"/>
    <xf numFmtId="0" fontId="0" fillId="4" borderId="0" xfId="0" applyFill="1"/>
    <xf numFmtId="0" fontId="1" fillId="4" borderId="0" xfId="0" applyFont="1" applyFill="1"/>
    <xf numFmtId="0" fontId="1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3" sqref="B13"/>
    </sheetView>
  </sheetViews>
  <sheetFormatPr baseColWidth="10" defaultColWidth="10.88671875" defaultRowHeight="14.4" x14ac:dyDescent="0.3"/>
  <cols>
    <col min="1" max="1" width="34.44140625" bestFit="1" customWidth="1"/>
    <col min="2" max="2" width="35.5546875" customWidth="1"/>
    <col min="3" max="3" width="19.21875" customWidth="1"/>
    <col min="4" max="4" width="31.44140625" customWidth="1"/>
  </cols>
  <sheetData>
    <row r="1" spans="1:8" x14ac:dyDescent="0.3">
      <c r="A1" s="12" t="s">
        <v>42</v>
      </c>
      <c r="E1" s="1" t="s">
        <v>17</v>
      </c>
      <c r="H1" s="6" t="s">
        <v>43</v>
      </c>
    </row>
    <row r="2" spans="1:8" x14ac:dyDescent="0.3">
      <c r="A2" s="13" t="s">
        <v>0</v>
      </c>
      <c r="B2" s="1" t="s">
        <v>44</v>
      </c>
      <c r="E2" s="1" t="s">
        <v>17</v>
      </c>
      <c r="H2" s="14" t="s">
        <v>18</v>
      </c>
    </row>
    <row r="3" spans="1:8" x14ac:dyDescent="0.3">
      <c r="A3" s="13" t="s">
        <v>19</v>
      </c>
      <c r="B3" t="s">
        <v>62</v>
      </c>
      <c r="E3" s="1" t="s">
        <v>17</v>
      </c>
      <c r="H3" s="14" t="s">
        <v>20</v>
      </c>
    </row>
    <row r="4" spans="1:8" x14ac:dyDescent="0.3">
      <c r="A4" s="13" t="s">
        <v>21</v>
      </c>
      <c r="B4" t="s">
        <v>63</v>
      </c>
      <c r="E4" s="1" t="s">
        <v>17</v>
      </c>
      <c r="H4" t="s">
        <v>22</v>
      </c>
    </row>
    <row r="5" spans="1:8" x14ac:dyDescent="0.3">
      <c r="A5" s="13" t="s">
        <v>1</v>
      </c>
      <c r="B5" s="1" t="s">
        <v>3</v>
      </c>
      <c r="E5" s="1" t="s">
        <v>17</v>
      </c>
      <c r="H5" t="s">
        <v>45</v>
      </c>
    </row>
    <row r="6" spans="1:8" x14ac:dyDescent="0.3">
      <c r="A6" s="13" t="s">
        <v>4</v>
      </c>
      <c r="B6" s="1" t="s">
        <v>3</v>
      </c>
      <c r="E6" s="1" t="s">
        <v>17</v>
      </c>
      <c r="H6" t="s">
        <v>46</v>
      </c>
    </row>
    <row r="7" spans="1:8" x14ac:dyDescent="0.3">
      <c r="A7" s="13" t="s">
        <v>5</v>
      </c>
      <c r="B7" s="1" t="s">
        <v>3</v>
      </c>
      <c r="E7" s="1" t="s">
        <v>17</v>
      </c>
      <c r="H7" t="s">
        <v>47</v>
      </c>
    </row>
    <row r="8" spans="1:8" x14ac:dyDescent="0.3">
      <c r="A8" s="3" t="s">
        <v>23</v>
      </c>
      <c r="B8" t="s">
        <v>15</v>
      </c>
      <c r="E8" s="1" t="s">
        <v>17</v>
      </c>
      <c r="H8" t="s">
        <v>24</v>
      </c>
    </row>
    <row r="9" spans="1:8" x14ac:dyDescent="0.3">
      <c r="A9" s="2" t="s">
        <v>25</v>
      </c>
      <c r="B9" s="17" t="s">
        <v>62</v>
      </c>
      <c r="E9" s="1" t="s">
        <v>17</v>
      </c>
      <c r="H9" t="s">
        <v>48</v>
      </c>
    </row>
    <row r="10" spans="1:8" x14ac:dyDescent="0.3">
      <c r="A10" s="13" t="s">
        <v>26</v>
      </c>
      <c r="B10" t="s">
        <v>61</v>
      </c>
      <c r="E10" s="1" t="s">
        <v>17</v>
      </c>
      <c r="H10" t="s">
        <v>27</v>
      </c>
    </row>
    <row r="11" spans="1:8" x14ac:dyDescent="0.3">
      <c r="A11" s="2" t="s">
        <v>28</v>
      </c>
      <c r="B11" s="15">
        <v>43461</v>
      </c>
      <c r="E11" s="1" t="s">
        <v>17</v>
      </c>
      <c r="H11" t="s">
        <v>29</v>
      </c>
    </row>
    <row r="12" spans="1:8" x14ac:dyDescent="0.3">
      <c r="A12" s="13" t="s">
        <v>30</v>
      </c>
      <c r="B12" s="15">
        <v>43468</v>
      </c>
      <c r="E12" s="1" t="s">
        <v>17</v>
      </c>
      <c r="H12" t="s">
        <v>31</v>
      </c>
    </row>
    <row r="13" spans="1:8" x14ac:dyDescent="0.3">
      <c r="A13" s="13" t="s">
        <v>32</v>
      </c>
      <c r="B13" t="s">
        <v>33</v>
      </c>
      <c r="E13" s="1" t="s">
        <v>17</v>
      </c>
      <c r="H13" t="s">
        <v>34</v>
      </c>
    </row>
    <row r="14" spans="1:8" x14ac:dyDescent="0.3">
      <c r="A14" s="13" t="s">
        <v>35</v>
      </c>
      <c r="B14" s="18" t="s">
        <v>59</v>
      </c>
      <c r="E14" s="1" t="s">
        <v>17</v>
      </c>
      <c r="H14" t="s">
        <v>36</v>
      </c>
    </row>
    <row r="15" spans="1:8" x14ac:dyDescent="0.3">
      <c r="A15" s="13" t="s">
        <v>37</v>
      </c>
      <c r="B15" s="17" t="s">
        <v>38</v>
      </c>
      <c r="E15" s="1" t="s">
        <v>17</v>
      </c>
      <c r="H15" t="s">
        <v>39</v>
      </c>
    </row>
    <row r="16" spans="1:8" x14ac:dyDescent="0.3">
      <c r="A16" s="3" t="s">
        <v>49</v>
      </c>
      <c r="B16" s="5"/>
      <c r="C16" s="5"/>
      <c r="E16" s="1"/>
    </row>
    <row r="17" spans="1:8" x14ac:dyDescent="0.3">
      <c r="A17" s="3" t="s">
        <v>49</v>
      </c>
      <c r="B17" s="5"/>
      <c r="C17" s="5"/>
      <c r="E17" s="1"/>
    </row>
    <row r="18" spans="1:8" x14ac:dyDescent="0.3">
      <c r="A18" s="3" t="s">
        <v>49</v>
      </c>
      <c r="B18" s="5"/>
      <c r="C18" s="5"/>
      <c r="E18" s="1"/>
    </row>
    <row r="19" spans="1:8" x14ac:dyDescent="0.3">
      <c r="A19" s="3" t="s">
        <v>49</v>
      </c>
      <c r="B19" s="5"/>
      <c r="C19" s="5"/>
      <c r="E19" s="1"/>
    </row>
    <row r="20" spans="1:8" x14ac:dyDescent="0.3">
      <c r="A20" s="3" t="s">
        <v>49</v>
      </c>
      <c r="B20" s="5"/>
      <c r="C20" s="5"/>
      <c r="E20" s="1"/>
    </row>
    <row r="21" spans="1:8" x14ac:dyDescent="0.3">
      <c r="A21" s="13" t="s">
        <v>2</v>
      </c>
      <c r="B21" s="12" t="s">
        <v>3</v>
      </c>
      <c r="C21" s="19" t="s">
        <v>8</v>
      </c>
      <c r="D21" s="20">
        <v>480</v>
      </c>
      <c r="E21" s="1" t="s">
        <v>17</v>
      </c>
      <c r="H21" t="s">
        <v>40</v>
      </c>
    </row>
    <row r="22" spans="1:8" x14ac:dyDescent="0.3">
      <c r="A22" s="13" t="s">
        <v>9</v>
      </c>
      <c r="B22" s="13" t="s">
        <v>50</v>
      </c>
      <c r="C22" s="13" t="s">
        <v>6</v>
      </c>
      <c r="D22" s="13" t="s">
        <v>7</v>
      </c>
      <c r="E22" s="21" t="s">
        <v>17</v>
      </c>
      <c r="F22" s="4"/>
      <c r="G22" s="4"/>
      <c r="H22" s="4"/>
    </row>
    <row r="23" spans="1:8" x14ac:dyDescent="0.3">
      <c r="A23" s="22" t="s">
        <v>132</v>
      </c>
      <c r="B23" s="4" t="s">
        <v>41</v>
      </c>
      <c r="C23" s="22" t="s">
        <v>10</v>
      </c>
      <c r="D23" s="4" t="s">
        <v>129</v>
      </c>
      <c r="E23" s="21" t="s">
        <v>17</v>
      </c>
      <c r="F23" s="4"/>
      <c r="G23" s="4"/>
      <c r="H23" s="4" t="s">
        <v>52</v>
      </c>
    </row>
    <row r="24" spans="1:8" x14ac:dyDescent="0.3">
      <c r="A24" s="22" t="s">
        <v>51</v>
      </c>
      <c r="B24" s="4" t="s">
        <v>66</v>
      </c>
      <c r="C24" s="22" t="s">
        <v>11</v>
      </c>
      <c r="D24" s="4" t="s">
        <v>130</v>
      </c>
      <c r="E24" s="21" t="s">
        <v>17</v>
      </c>
      <c r="F24" s="4"/>
      <c r="G24" s="4"/>
      <c r="H24" s="16" t="s">
        <v>53</v>
      </c>
    </row>
    <row r="25" spans="1:8" x14ac:dyDescent="0.3">
      <c r="A25" s="23" t="s">
        <v>64</v>
      </c>
      <c r="B25" s="4" t="s">
        <v>54</v>
      </c>
      <c r="C25" s="22" t="s">
        <v>12</v>
      </c>
      <c r="D25" s="4" t="s">
        <v>131</v>
      </c>
      <c r="E25" s="21" t="s">
        <v>17</v>
      </c>
      <c r="F25" s="4"/>
      <c r="G25" s="4"/>
      <c r="H25" s="16" t="s">
        <v>56</v>
      </c>
    </row>
    <row r="26" spans="1:8" x14ac:dyDescent="0.3">
      <c r="A26" s="23" t="s">
        <v>65</v>
      </c>
      <c r="B26" s="4" t="s">
        <v>60</v>
      </c>
      <c r="C26" s="22" t="s">
        <v>13</v>
      </c>
      <c r="D26" s="4" t="s">
        <v>55</v>
      </c>
      <c r="E26" s="21" t="s">
        <v>17</v>
      </c>
      <c r="F26" s="4"/>
      <c r="G26" s="4"/>
      <c r="H26" s="4" t="s">
        <v>58</v>
      </c>
    </row>
    <row r="27" spans="1:8" x14ac:dyDescent="0.3">
      <c r="C27" s="22" t="s">
        <v>14</v>
      </c>
      <c r="D27" s="4" t="s">
        <v>57</v>
      </c>
      <c r="E27" s="1" t="s">
        <v>17</v>
      </c>
      <c r="F27" s="5"/>
      <c r="H27" s="5"/>
    </row>
    <row r="28" spans="1:8" x14ac:dyDescent="0.3">
      <c r="E28" s="1" t="s">
        <v>17</v>
      </c>
      <c r="F28" s="5"/>
      <c r="H28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8"/>
  <sheetViews>
    <sheetView tabSelected="1" topLeftCell="A23" zoomScaleNormal="100" workbookViewId="0">
      <selection activeCell="B53" sqref="B53"/>
    </sheetView>
  </sheetViews>
  <sheetFormatPr baseColWidth="10" defaultColWidth="10.88671875" defaultRowHeight="14.4" x14ac:dyDescent="0.3"/>
  <cols>
    <col min="1" max="1" width="23.33203125" style="11" customWidth="1"/>
    <col min="2" max="2" width="20.44140625" bestFit="1" customWidth="1"/>
    <col min="3" max="3" width="15.44140625" bestFit="1" customWidth="1"/>
    <col min="4" max="4" width="6.21875" customWidth="1"/>
    <col min="5" max="5" width="20.21875" customWidth="1"/>
  </cols>
  <sheetData>
    <row r="1" spans="1:8" x14ac:dyDescent="0.3">
      <c r="A1" s="9" t="s">
        <v>134</v>
      </c>
      <c r="B1" s="2" t="s">
        <v>140</v>
      </c>
      <c r="C1" s="7" t="s">
        <v>10</v>
      </c>
      <c r="D1" s="7" t="s">
        <v>11</v>
      </c>
      <c r="E1" s="7" t="s">
        <v>14</v>
      </c>
    </row>
    <row r="2" spans="1:8" x14ac:dyDescent="0.3">
      <c r="A2" s="8" t="s">
        <v>67</v>
      </c>
      <c r="B2" t="s">
        <v>135</v>
      </c>
      <c r="C2">
        <v>882.09027753999521</v>
      </c>
      <c r="D2" t="s">
        <v>16</v>
      </c>
      <c r="E2" s="4" t="s">
        <v>126</v>
      </c>
      <c r="F2" s="4"/>
      <c r="G2" s="4"/>
      <c r="H2" s="4"/>
    </row>
    <row r="3" spans="1:8" x14ac:dyDescent="0.3">
      <c r="A3" s="8" t="s">
        <v>68</v>
      </c>
      <c r="B3" t="s">
        <v>135</v>
      </c>
      <c r="C3">
        <v>115.87424457466307</v>
      </c>
      <c r="D3" t="s">
        <v>16</v>
      </c>
      <c r="E3" s="4" t="s">
        <v>126</v>
      </c>
      <c r="F3" s="4"/>
      <c r="G3" s="4"/>
      <c r="H3" s="4"/>
    </row>
    <row r="4" spans="1:8" x14ac:dyDescent="0.3">
      <c r="A4" s="8" t="s">
        <v>77</v>
      </c>
      <c r="B4" t="s">
        <v>135</v>
      </c>
      <c r="C4">
        <v>97.5</v>
      </c>
      <c r="D4" t="s">
        <v>16</v>
      </c>
      <c r="E4" s="4" t="s">
        <v>123</v>
      </c>
      <c r="F4" s="4"/>
      <c r="G4" s="4"/>
      <c r="H4" s="4"/>
    </row>
    <row r="5" spans="1:8" x14ac:dyDescent="0.3">
      <c r="A5" s="8" t="s">
        <v>69</v>
      </c>
      <c r="B5" t="s">
        <v>135</v>
      </c>
      <c r="C5">
        <v>22.5</v>
      </c>
      <c r="D5" t="s">
        <v>16</v>
      </c>
      <c r="E5" s="4" t="s">
        <v>133</v>
      </c>
      <c r="F5" s="4"/>
      <c r="G5" s="4"/>
      <c r="H5" s="4"/>
    </row>
    <row r="6" spans="1:8" x14ac:dyDescent="0.3">
      <c r="A6" s="8" t="s">
        <v>78</v>
      </c>
      <c r="B6" t="s">
        <v>135</v>
      </c>
      <c r="C6">
        <v>0.24040395610000001</v>
      </c>
      <c r="D6" t="s">
        <v>16</v>
      </c>
      <c r="E6" s="4" t="s">
        <v>127</v>
      </c>
      <c r="F6" s="4"/>
      <c r="G6" s="4"/>
      <c r="H6" s="4"/>
    </row>
    <row r="7" spans="1:8" x14ac:dyDescent="0.3">
      <c r="A7" s="8" t="s">
        <v>70</v>
      </c>
      <c r="B7" t="s">
        <v>135</v>
      </c>
      <c r="C7">
        <v>9.9790321400000007E-2</v>
      </c>
      <c r="D7" t="s">
        <v>16</v>
      </c>
      <c r="E7" s="4" t="s">
        <v>126</v>
      </c>
      <c r="F7" s="4"/>
      <c r="G7" s="4"/>
      <c r="H7" s="4"/>
    </row>
    <row r="8" spans="1:8" x14ac:dyDescent="0.3">
      <c r="A8" s="8" t="s">
        <v>79</v>
      </c>
      <c r="B8" t="s">
        <v>135</v>
      </c>
      <c r="C8">
        <v>11.540876364192791</v>
      </c>
      <c r="D8" t="s">
        <v>16</v>
      </c>
      <c r="E8" s="4" t="s">
        <v>126</v>
      </c>
      <c r="F8" s="4"/>
      <c r="G8" s="4"/>
      <c r="H8" s="4"/>
    </row>
    <row r="9" spans="1:8" x14ac:dyDescent="0.3">
      <c r="A9" s="8" t="s">
        <v>71</v>
      </c>
      <c r="B9" t="s">
        <v>135</v>
      </c>
      <c r="C9">
        <v>1.2150000000000001</v>
      </c>
      <c r="D9" t="s">
        <v>16</v>
      </c>
      <c r="E9" s="4" t="s">
        <v>123</v>
      </c>
      <c r="F9" s="4"/>
      <c r="G9" s="4"/>
      <c r="H9" s="4"/>
    </row>
    <row r="10" spans="1:8" x14ac:dyDescent="0.3">
      <c r="A10" s="8" t="s">
        <v>80</v>
      </c>
      <c r="B10" t="s">
        <v>135</v>
      </c>
      <c r="C10">
        <v>1.1000000000000001E-3</v>
      </c>
      <c r="D10" t="s">
        <v>16</v>
      </c>
      <c r="E10" s="4" t="s">
        <v>127</v>
      </c>
      <c r="F10" s="4"/>
      <c r="G10" s="4"/>
      <c r="H10" s="4"/>
    </row>
    <row r="11" spans="1:8" x14ac:dyDescent="0.3">
      <c r="A11" s="8" t="s">
        <v>81</v>
      </c>
      <c r="B11" t="s">
        <v>135</v>
      </c>
      <c r="C11">
        <v>5.3E-3</v>
      </c>
      <c r="D11" t="s">
        <v>16</v>
      </c>
      <c r="E11" s="4" t="s">
        <v>127</v>
      </c>
      <c r="F11" s="4"/>
      <c r="G11" s="4"/>
      <c r="H11" s="4"/>
    </row>
    <row r="12" spans="1:8" x14ac:dyDescent="0.3">
      <c r="A12" s="8" t="s">
        <v>82</v>
      </c>
      <c r="B12" t="s">
        <v>135</v>
      </c>
      <c r="C12">
        <v>5.9999999999999995E-4</v>
      </c>
      <c r="D12" t="s">
        <v>16</v>
      </c>
      <c r="E12" s="4" t="s">
        <v>127</v>
      </c>
      <c r="F12" s="4"/>
      <c r="G12" s="4"/>
      <c r="H12" s="4"/>
    </row>
    <row r="13" spans="1:8" x14ac:dyDescent="0.3">
      <c r="A13" s="8" t="s">
        <v>83</v>
      </c>
      <c r="B13" t="s">
        <v>135</v>
      </c>
      <c r="C13">
        <v>4.9403206991764379E-3</v>
      </c>
      <c r="D13" t="s">
        <v>16</v>
      </c>
      <c r="E13" s="4" t="s">
        <v>127</v>
      </c>
      <c r="F13" s="4"/>
      <c r="G13" s="4"/>
      <c r="H13" s="4"/>
    </row>
    <row r="14" spans="1:8" x14ac:dyDescent="0.3">
      <c r="A14" s="8" t="s">
        <v>84</v>
      </c>
      <c r="B14" t="s">
        <v>135</v>
      </c>
      <c r="C14">
        <v>0.11692092321384237</v>
      </c>
      <c r="D14" t="s">
        <v>16</v>
      </c>
      <c r="E14" s="4" t="s">
        <v>127</v>
      </c>
      <c r="F14" s="4"/>
      <c r="G14" s="4"/>
      <c r="H14" s="4"/>
    </row>
    <row r="15" spans="1:8" x14ac:dyDescent="0.3">
      <c r="A15" s="8" t="s">
        <v>85</v>
      </c>
      <c r="B15" t="s">
        <v>135</v>
      </c>
      <c r="C15">
        <v>186.38730284088666</v>
      </c>
      <c r="D15" t="s">
        <v>16</v>
      </c>
      <c r="E15" s="4" t="s">
        <v>128</v>
      </c>
      <c r="F15" s="4"/>
      <c r="G15" s="4"/>
      <c r="H15" s="4"/>
    </row>
    <row r="16" spans="1:8" x14ac:dyDescent="0.3">
      <c r="A16" s="8" t="s">
        <v>86</v>
      </c>
      <c r="B16" t="s">
        <v>135</v>
      </c>
      <c r="C16">
        <v>25.477080641814737</v>
      </c>
      <c r="D16" t="s">
        <v>16</v>
      </c>
      <c r="E16" s="4" t="s">
        <v>128</v>
      </c>
      <c r="F16" s="4"/>
      <c r="G16" s="4"/>
      <c r="H16" s="4"/>
    </row>
    <row r="17" spans="1:8" x14ac:dyDescent="0.3">
      <c r="A17" s="8" t="s">
        <v>87</v>
      </c>
      <c r="B17" t="s">
        <v>135</v>
      </c>
      <c r="C17">
        <v>30.352333614621049</v>
      </c>
      <c r="D17" t="s">
        <v>16</v>
      </c>
      <c r="E17" s="4" t="s">
        <v>126</v>
      </c>
      <c r="F17" s="4"/>
      <c r="G17" s="4"/>
      <c r="H17" s="4"/>
    </row>
    <row r="18" spans="1:8" x14ac:dyDescent="0.3">
      <c r="A18" s="8" t="s">
        <v>88</v>
      </c>
      <c r="B18" t="s">
        <v>135</v>
      </c>
      <c r="C18">
        <v>4.4135136670352555</v>
      </c>
      <c r="D18" t="s">
        <v>16</v>
      </c>
      <c r="E18" s="4" t="s">
        <v>128</v>
      </c>
      <c r="F18" s="4"/>
      <c r="G18" s="4"/>
      <c r="H18" s="4"/>
    </row>
    <row r="19" spans="1:8" x14ac:dyDescent="0.3">
      <c r="A19" s="8" t="s">
        <v>89</v>
      </c>
      <c r="B19" t="s">
        <v>135</v>
      </c>
      <c r="C19">
        <v>0.13970644996000001</v>
      </c>
      <c r="D19" t="s">
        <v>16</v>
      </c>
      <c r="E19" s="4" t="s">
        <v>128</v>
      </c>
      <c r="F19" s="4"/>
      <c r="G19" s="4"/>
      <c r="H19" s="4"/>
    </row>
    <row r="20" spans="1:8" x14ac:dyDescent="0.3">
      <c r="A20" s="8" t="s">
        <v>90</v>
      </c>
      <c r="B20" t="s">
        <v>135</v>
      </c>
      <c r="C20">
        <v>8.3284210526315778</v>
      </c>
      <c r="D20" t="s">
        <v>16</v>
      </c>
      <c r="E20" s="4" t="s">
        <v>128</v>
      </c>
      <c r="F20" s="4"/>
      <c r="G20" s="4"/>
    </row>
    <row r="21" spans="1:8" x14ac:dyDescent="0.3">
      <c r="A21" s="8" t="s">
        <v>91</v>
      </c>
      <c r="B21" t="s">
        <v>135</v>
      </c>
      <c r="C21">
        <v>6.0750000000000002</v>
      </c>
      <c r="D21" t="s">
        <v>16</v>
      </c>
      <c r="E21" s="4" t="s">
        <v>123</v>
      </c>
      <c r="F21" s="4"/>
      <c r="G21" s="4"/>
    </row>
    <row r="22" spans="1:8" x14ac:dyDescent="0.3">
      <c r="A22" s="8" t="s">
        <v>72</v>
      </c>
      <c r="B22" t="s">
        <v>135</v>
      </c>
      <c r="C22">
        <v>1.2150000000000001</v>
      </c>
      <c r="D22" t="s">
        <v>16</v>
      </c>
      <c r="E22" s="4" t="s">
        <v>123</v>
      </c>
      <c r="F22" s="4"/>
      <c r="G22" s="4"/>
    </row>
    <row r="23" spans="1:8" x14ac:dyDescent="0.3">
      <c r="A23" s="8" t="s">
        <v>73</v>
      </c>
      <c r="B23" t="s">
        <v>135</v>
      </c>
      <c r="C23">
        <v>0.36449999999999999</v>
      </c>
      <c r="D23" t="s">
        <v>16</v>
      </c>
      <c r="E23" s="4" t="s">
        <v>123</v>
      </c>
      <c r="F23" s="4"/>
      <c r="G23" s="4"/>
    </row>
    <row r="24" spans="1:8" x14ac:dyDescent="0.3">
      <c r="A24" s="8" t="s">
        <v>75</v>
      </c>
      <c r="B24" t="s">
        <v>135</v>
      </c>
      <c r="C24">
        <v>0.20849999999999999</v>
      </c>
      <c r="D24" t="s">
        <v>16</v>
      </c>
      <c r="E24" s="4" t="s">
        <v>124</v>
      </c>
      <c r="F24" s="4"/>
      <c r="G24" s="4"/>
    </row>
    <row r="25" spans="1:8" x14ac:dyDescent="0.3">
      <c r="A25" s="8" t="s">
        <v>76</v>
      </c>
      <c r="B25" t="s">
        <v>135</v>
      </c>
      <c r="C25">
        <v>4.5500000000000002E-3</v>
      </c>
      <c r="D25" t="s">
        <v>16</v>
      </c>
      <c r="E25" s="4" t="s">
        <v>124</v>
      </c>
      <c r="F25" s="4"/>
      <c r="G25" s="4"/>
    </row>
    <row r="26" spans="1:8" x14ac:dyDescent="0.3">
      <c r="A26" s="8" t="s">
        <v>74</v>
      </c>
      <c r="B26" t="s">
        <v>135</v>
      </c>
      <c r="C26">
        <v>3.1E-2</v>
      </c>
      <c r="D26" t="s">
        <v>16</v>
      </c>
      <c r="E26" s="4" t="s">
        <v>124</v>
      </c>
      <c r="F26" s="4"/>
      <c r="G26" s="4"/>
    </row>
    <row r="27" spans="1:8" x14ac:dyDescent="0.3">
      <c r="A27" s="8" t="s">
        <v>67</v>
      </c>
      <c r="B27" t="s">
        <v>136</v>
      </c>
      <c r="C27">
        <v>882.09027753999521</v>
      </c>
      <c r="D27" t="s">
        <v>16</v>
      </c>
      <c r="E27" s="4" t="s">
        <v>126</v>
      </c>
      <c r="F27" s="4"/>
      <c r="G27" s="4"/>
    </row>
    <row r="28" spans="1:8" x14ac:dyDescent="0.3">
      <c r="A28" s="8" t="s">
        <v>68</v>
      </c>
      <c r="B28" t="s">
        <v>136</v>
      </c>
      <c r="C28">
        <v>115.87424457466307</v>
      </c>
      <c r="D28" t="s">
        <v>16</v>
      </c>
      <c r="E28" s="4" t="s">
        <v>126</v>
      </c>
      <c r="F28" s="4"/>
      <c r="G28" s="4"/>
    </row>
    <row r="29" spans="1:8" x14ac:dyDescent="0.3">
      <c r="A29" s="8" t="s">
        <v>77</v>
      </c>
      <c r="B29" t="s">
        <v>136</v>
      </c>
      <c r="C29">
        <v>97.5</v>
      </c>
      <c r="D29" t="s">
        <v>16</v>
      </c>
      <c r="E29" s="4" t="s">
        <v>123</v>
      </c>
      <c r="F29" s="4"/>
      <c r="G29" s="4"/>
    </row>
    <row r="30" spans="1:8" x14ac:dyDescent="0.3">
      <c r="A30" s="8" t="s">
        <v>69</v>
      </c>
      <c r="B30" t="s">
        <v>136</v>
      </c>
      <c r="C30">
        <v>67</v>
      </c>
      <c r="D30" t="s">
        <v>16</v>
      </c>
      <c r="E30" s="4" t="s">
        <v>137</v>
      </c>
      <c r="F30" s="4"/>
      <c r="G30" s="4"/>
    </row>
    <row r="31" spans="1:8" x14ac:dyDescent="0.3">
      <c r="A31" s="8" t="s">
        <v>78</v>
      </c>
      <c r="B31" t="s">
        <v>136</v>
      </c>
      <c r="C31">
        <v>0.24040395610000001</v>
      </c>
      <c r="D31" t="s">
        <v>16</v>
      </c>
      <c r="E31" s="4" t="s">
        <v>127</v>
      </c>
      <c r="F31" s="4"/>
      <c r="G31" s="4"/>
    </row>
    <row r="32" spans="1:8" x14ac:dyDescent="0.3">
      <c r="A32" s="8" t="s">
        <v>70</v>
      </c>
      <c r="B32" t="s">
        <v>136</v>
      </c>
      <c r="C32">
        <v>9.9790321400000007E-2</v>
      </c>
      <c r="D32" t="s">
        <v>16</v>
      </c>
      <c r="E32" s="4" t="s">
        <v>126</v>
      </c>
      <c r="F32" s="4"/>
      <c r="G32" s="4"/>
    </row>
    <row r="33" spans="1:7" x14ac:dyDescent="0.3">
      <c r="A33" s="8" t="s">
        <v>79</v>
      </c>
      <c r="B33" t="s">
        <v>136</v>
      </c>
      <c r="C33">
        <v>0</v>
      </c>
      <c r="D33" t="s">
        <v>16</v>
      </c>
      <c r="E33" s="4" t="s">
        <v>138</v>
      </c>
      <c r="F33" s="4"/>
      <c r="G33" s="4"/>
    </row>
    <row r="34" spans="1:7" x14ac:dyDescent="0.3">
      <c r="A34" s="8" t="s">
        <v>71</v>
      </c>
      <c r="B34" t="s">
        <v>136</v>
      </c>
      <c r="C34">
        <v>1.2150000000000001</v>
      </c>
      <c r="D34" t="s">
        <v>16</v>
      </c>
      <c r="E34" s="4" t="s">
        <v>123</v>
      </c>
      <c r="F34" s="4"/>
      <c r="G34" s="4"/>
    </row>
    <row r="35" spans="1:7" x14ac:dyDescent="0.3">
      <c r="A35" s="8" t="s">
        <v>80</v>
      </c>
      <c r="B35" t="s">
        <v>136</v>
      </c>
      <c r="C35">
        <v>1.1000000000000001E-3</v>
      </c>
      <c r="D35" t="s">
        <v>16</v>
      </c>
      <c r="E35" s="4" t="s">
        <v>127</v>
      </c>
      <c r="F35" s="4"/>
      <c r="G35" s="4"/>
    </row>
    <row r="36" spans="1:7" x14ac:dyDescent="0.3">
      <c r="A36" s="8" t="s">
        <v>81</v>
      </c>
      <c r="B36" t="s">
        <v>136</v>
      </c>
      <c r="C36">
        <v>5.3E-3</v>
      </c>
      <c r="D36" t="s">
        <v>16</v>
      </c>
      <c r="E36" s="4" t="s">
        <v>127</v>
      </c>
      <c r="F36" s="4"/>
      <c r="G36" s="4"/>
    </row>
    <row r="37" spans="1:7" x14ac:dyDescent="0.3">
      <c r="A37" s="8" t="s">
        <v>82</v>
      </c>
      <c r="B37" t="s">
        <v>136</v>
      </c>
      <c r="C37">
        <v>5.9999999999999995E-4</v>
      </c>
      <c r="D37" t="s">
        <v>16</v>
      </c>
      <c r="E37" s="4" t="s">
        <v>127</v>
      </c>
      <c r="F37" s="4"/>
      <c r="G37" s="4"/>
    </row>
    <row r="38" spans="1:7" x14ac:dyDescent="0.3">
      <c r="A38" s="8" t="s">
        <v>83</v>
      </c>
      <c r="B38" t="s">
        <v>136</v>
      </c>
      <c r="C38">
        <v>4.9403206991764379E-3</v>
      </c>
      <c r="D38" t="s">
        <v>16</v>
      </c>
      <c r="E38" s="4" t="s">
        <v>127</v>
      </c>
      <c r="F38" s="4"/>
      <c r="G38" s="4"/>
    </row>
    <row r="39" spans="1:7" x14ac:dyDescent="0.3">
      <c r="A39" s="8" t="s">
        <v>84</v>
      </c>
      <c r="B39" t="s">
        <v>136</v>
      </c>
      <c r="C39">
        <v>0.11692092321384237</v>
      </c>
      <c r="D39" t="s">
        <v>16</v>
      </c>
      <c r="E39" s="4" t="s">
        <v>127</v>
      </c>
      <c r="F39" s="4"/>
      <c r="G39" s="4"/>
    </row>
    <row r="40" spans="1:7" x14ac:dyDescent="0.3">
      <c r="A40" s="8" t="s">
        <v>85</v>
      </c>
      <c r="B40" t="s">
        <v>136</v>
      </c>
      <c r="C40">
        <v>186.38730284088666</v>
      </c>
      <c r="D40" t="s">
        <v>16</v>
      </c>
      <c r="E40" s="4" t="s">
        <v>128</v>
      </c>
      <c r="F40" s="4"/>
      <c r="G40" s="4"/>
    </row>
    <row r="41" spans="1:7" x14ac:dyDescent="0.3">
      <c r="A41" s="8" t="s">
        <v>86</v>
      </c>
      <c r="B41" t="s">
        <v>136</v>
      </c>
      <c r="C41">
        <v>25.477080641814737</v>
      </c>
      <c r="D41" t="s">
        <v>16</v>
      </c>
      <c r="E41" s="4" t="s">
        <v>128</v>
      </c>
      <c r="F41" s="4"/>
      <c r="G41" s="4"/>
    </row>
    <row r="42" spans="1:7" x14ac:dyDescent="0.3">
      <c r="A42" s="8" t="s">
        <v>87</v>
      </c>
      <c r="B42" t="s">
        <v>136</v>
      </c>
      <c r="C42">
        <v>30.352333614621049</v>
      </c>
      <c r="D42" t="s">
        <v>16</v>
      </c>
      <c r="E42" s="4" t="s">
        <v>126</v>
      </c>
      <c r="F42" s="4"/>
      <c r="G42" s="4"/>
    </row>
    <row r="43" spans="1:7" x14ac:dyDescent="0.3">
      <c r="A43" s="8" t="s">
        <v>88</v>
      </c>
      <c r="B43" t="s">
        <v>136</v>
      </c>
      <c r="C43">
        <v>4.4135136670352555</v>
      </c>
      <c r="D43" t="s">
        <v>16</v>
      </c>
      <c r="E43" s="4" t="s">
        <v>128</v>
      </c>
    </row>
    <row r="44" spans="1:7" x14ac:dyDescent="0.3">
      <c r="A44" s="8" t="s">
        <v>89</v>
      </c>
      <c r="B44" t="s">
        <v>136</v>
      </c>
      <c r="C44">
        <v>0.13970644996000001</v>
      </c>
      <c r="D44" t="s">
        <v>16</v>
      </c>
      <c r="E44" s="4" t="s">
        <v>128</v>
      </c>
    </row>
    <row r="45" spans="1:7" x14ac:dyDescent="0.3">
      <c r="A45" s="8" t="s">
        <v>90</v>
      </c>
      <c r="B45" t="s">
        <v>136</v>
      </c>
      <c r="C45">
        <v>8.3284210526315778</v>
      </c>
      <c r="D45" t="s">
        <v>16</v>
      </c>
      <c r="E45" s="4" t="s">
        <v>128</v>
      </c>
    </row>
    <row r="46" spans="1:7" x14ac:dyDescent="0.3">
      <c r="A46" s="8" t="s">
        <v>91</v>
      </c>
      <c r="B46" t="s">
        <v>136</v>
      </c>
      <c r="C46">
        <v>6.0750000000000002</v>
      </c>
      <c r="D46" t="s">
        <v>16</v>
      </c>
      <c r="E46" s="4" t="s">
        <v>123</v>
      </c>
    </row>
    <row r="47" spans="1:7" x14ac:dyDescent="0.3">
      <c r="A47" s="8" t="s">
        <v>72</v>
      </c>
      <c r="B47" t="s">
        <v>136</v>
      </c>
      <c r="C47">
        <v>1.2150000000000001</v>
      </c>
      <c r="D47" t="s">
        <v>16</v>
      </c>
      <c r="E47" s="4" t="s">
        <v>123</v>
      </c>
    </row>
    <row r="48" spans="1:7" x14ac:dyDescent="0.3">
      <c r="A48" s="8" t="s">
        <v>73</v>
      </c>
      <c r="B48" t="s">
        <v>136</v>
      </c>
      <c r="C48">
        <v>0.36449999999999999</v>
      </c>
      <c r="D48" t="s">
        <v>16</v>
      </c>
      <c r="E48" s="4" t="s">
        <v>123</v>
      </c>
    </row>
    <row r="49" spans="1:5" x14ac:dyDescent="0.3">
      <c r="A49" s="8" t="s">
        <v>75</v>
      </c>
      <c r="B49" t="s">
        <v>136</v>
      </c>
      <c r="C49">
        <v>0.20849999999999999</v>
      </c>
      <c r="D49" t="s">
        <v>16</v>
      </c>
      <c r="E49" s="4" t="s">
        <v>124</v>
      </c>
    </row>
    <row r="50" spans="1:5" x14ac:dyDescent="0.3">
      <c r="A50" s="8" t="s">
        <v>76</v>
      </c>
      <c r="B50" t="s">
        <v>136</v>
      </c>
      <c r="C50">
        <v>4.5500000000000002E-3</v>
      </c>
      <c r="D50" t="s">
        <v>16</v>
      </c>
      <c r="E50" s="4" t="s">
        <v>124</v>
      </c>
    </row>
    <row r="51" spans="1:5" x14ac:dyDescent="0.3">
      <c r="A51" s="8" t="s">
        <v>74</v>
      </c>
      <c r="B51" t="s">
        <v>136</v>
      </c>
      <c r="C51">
        <v>14</v>
      </c>
      <c r="D51" t="s">
        <v>16</v>
      </c>
      <c r="E51" s="4" t="s">
        <v>139</v>
      </c>
    </row>
    <row r="52" spans="1:5" x14ac:dyDescent="0.3">
      <c r="A52" s="8"/>
      <c r="B52" s="4"/>
      <c r="C52" s="4"/>
      <c r="E52" s="4"/>
    </row>
    <row r="53" spans="1:5" x14ac:dyDescent="0.3">
      <c r="A53" s="8"/>
      <c r="B53" s="4"/>
      <c r="C53" s="4"/>
      <c r="E53" s="4"/>
    </row>
    <row r="54" spans="1:5" x14ac:dyDescent="0.3">
      <c r="A54" s="8"/>
      <c r="B54" s="4"/>
      <c r="C54" s="4"/>
      <c r="E54" s="4"/>
    </row>
    <row r="55" spans="1:5" x14ac:dyDescent="0.3">
      <c r="A55" s="8"/>
      <c r="B55" s="4"/>
      <c r="C55" s="4"/>
      <c r="E55" s="4"/>
    </row>
    <row r="56" spans="1:5" x14ac:dyDescent="0.3">
      <c r="A56" s="8"/>
      <c r="B56" s="4"/>
      <c r="C56" s="4"/>
      <c r="E56" s="4"/>
    </row>
    <row r="57" spans="1:5" x14ac:dyDescent="0.3">
      <c r="A57" s="8"/>
      <c r="B57" s="4"/>
      <c r="C57" s="4"/>
      <c r="E57" s="4"/>
    </row>
    <row r="58" spans="1:5" x14ac:dyDescent="0.3">
      <c r="A58" s="8"/>
      <c r="B58" s="4"/>
      <c r="C58" s="4"/>
      <c r="E58" s="4"/>
    </row>
    <row r="59" spans="1:5" x14ac:dyDescent="0.3">
      <c r="A59" s="8"/>
      <c r="B59" s="4"/>
      <c r="C59" s="4"/>
      <c r="E59" s="4"/>
    </row>
    <row r="60" spans="1:5" x14ac:dyDescent="0.3">
      <c r="A60" s="8"/>
      <c r="B60" s="4"/>
      <c r="C60" s="4"/>
      <c r="E60" s="4"/>
    </row>
    <row r="61" spans="1:5" x14ac:dyDescent="0.3">
      <c r="A61" s="8"/>
      <c r="B61" s="4"/>
      <c r="C61" s="4"/>
      <c r="E61" s="4"/>
    </row>
    <row r="62" spans="1:5" x14ac:dyDescent="0.3">
      <c r="A62" s="8"/>
      <c r="B62" s="4"/>
      <c r="C62" s="4"/>
      <c r="E62" s="4"/>
    </row>
    <row r="63" spans="1:5" x14ac:dyDescent="0.3">
      <c r="A63" s="8"/>
      <c r="C63" s="4"/>
      <c r="E63" s="4"/>
    </row>
    <row r="64" spans="1:5" x14ac:dyDescent="0.3">
      <c r="A64" s="8"/>
      <c r="C64" s="4"/>
      <c r="E64" s="4"/>
    </row>
    <row r="65" spans="1:5" x14ac:dyDescent="0.3">
      <c r="A65" s="8"/>
      <c r="C65" s="4"/>
      <c r="E65" s="4"/>
    </row>
    <row r="66" spans="1:5" x14ac:dyDescent="0.3">
      <c r="A66" s="8"/>
      <c r="C66" s="4"/>
      <c r="E66" s="4"/>
    </row>
    <row r="67" spans="1:5" x14ac:dyDescent="0.3">
      <c r="A67" s="8"/>
      <c r="C67" s="4"/>
      <c r="E67" s="4"/>
    </row>
    <row r="68" spans="1:5" x14ac:dyDescent="0.3">
      <c r="A68" s="8"/>
      <c r="C68" s="4"/>
      <c r="E68" s="4"/>
    </row>
    <row r="69" spans="1:5" x14ac:dyDescent="0.3">
      <c r="A69" s="8"/>
      <c r="C69" s="4"/>
      <c r="E69" s="4"/>
    </row>
    <row r="70" spans="1:5" x14ac:dyDescent="0.3">
      <c r="A70" s="8"/>
      <c r="C70" s="4"/>
      <c r="E70" s="4"/>
    </row>
    <row r="71" spans="1:5" x14ac:dyDescent="0.3">
      <c r="A71" s="8"/>
      <c r="C71" s="4"/>
      <c r="E71" s="4"/>
    </row>
    <row r="72" spans="1:5" x14ac:dyDescent="0.3">
      <c r="A72" s="8"/>
      <c r="C72" s="4"/>
      <c r="E72" s="4"/>
    </row>
    <row r="73" spans="1:5" x14ac:dyDescent="0.3">
      <c r="A73" s="8"/>
      <c r="C73" s="4"/>
      <c r="E73" s="4"/>
    </row>
    <row r="74" spans="1:5" x14ac:dyDescent="0.3">
      <c r="A74" s="8"/>
      <c r="C74" s="4"/>
      <c r="E74" s="4"/>
    </row>
    <row r="75" spans="1:5" x14ac:dyDescent="0.3">
      <c r="A75" s="8"/>
      <c r="C75" s="4"/>
      <c r="E75" s="4"/>
    </row>
    <row r="76" spans="1:5" x14ac:dyDescent="0.3">
      <c r="A76" s="8"/>
      <c r="C76" s="4"/>
      <c r="E76" s="4"/>
    </row>
    <row r="77" spans="1:5" x14ac:dyDescent="0.3">
      <c r="A77" s="8"/>
      <c r="C77" s="4"/>
      <c r="E77" s="4"/>
    </row>
    <row r="78" spans="1:5" x14ac:dyDescent="0.3">
      <c r="A78" s="8"/>
      <c r="C78" s="4"/>
      <c r="E78" s="4"/>
    </row>
    <row r="79" spans="1:5" x14ac:dyDescent="0.3">
      <c r="A79" s="8"/>
      <c r="C79" s="4"/>
      <c r="E79" s="4"/>
    </row>
    <row r="80" spans="1:5" x14ac:dyDescent="0.3">
      <c r="A80" s="8"/>
      <c r="C80" s="4"/>
      <c r="E80" s="4"/>
    </row>
    <row r="81" spans="1:5" x14ac:dyDescent="0.3">
      <c r="A81" s="8"/>
      <c r="C81" s="4"/>
      <c r="E81" s="4"/>
    </row>
    <row r="82" spans="1:5" x14ac:dyDescent="0.3">
      <c r="A82" s="8"/>
      <c r="C82" s="4"/>
      <c r="E82" s="4"/>
    </row>
    <row r="83" spans="1:5" x14ac:dyDescent="0.3">
      <c r="A83" s="8"/>
      <c r="C83" s="4"/>
      <c r="E83" s="4"/>
    </row>
    <row r="84" spans="1:5" x14ac:dyDescent="0.3">
      <c r="A84" s="8"/>
      <c r="C84" s="4"/>
      <c r="E84" s="4"/>
    </row>
    <row r="85" spans="1:5" x14ac:dyDescent="0.3">
      <c r="A85" s="8"/>
      <c r="C85" s="4"/>
      <c r="E85" s="4"/>
    </row>
    <row r="86" spans="1:5" x14ac:dyDescent="0.3">
      <c r="A86" s="8"/>
      <c r="C86" s="4"/>
      <c r="E86" s="4"/>
    </row>
    <row r="87" spans="1:5" x14ac:dyDescent="0.3">
      <c r="A87" s="8"/>
      <c r="C87" s="4"/>
      <c r="E87" s="4"/>
    </row>
    <row r="88" spans="1:5" x14ac:dyDescent="0.3">
      <c r="A88" s="8"/>
      <c r="C88" s="4"/>
      <c r="E88" s="4"/>
    </row>
    <row r="89" spans="1:5" x14ac:dyDescent="0.3">
      <c r="A89" s="8"/>
      <c r="C89" s="4"/>
      <c r="E89" s="4"/>
    </row>
    <row r="90" spans="1:5" x14ac:dyDescent="0.3">
      <c r="A90" s="8"/>
      <c r="C90" s="4"/>
      <c r="E90" s="4"/>
    </row>
    <row r="91" spans="1:5" x14ac:dyDescent="0.3">
      <c r="A91" s="8"/>
      <c r="C91" s="4"/>
      <c r="E91" s="4"/>
    </row>
    <row r="92" spans="1:5" x14ac:dyDescent="0.3">
      <c r="A92" s="8"/>
      <c r="C92" s="4"/>
      <c r="E92" s="4"/>
    </row>
    <row r="93" spans="1:5" x14ac:dyDescent="0.3">
      <c r="A93" s="8"/>
      <c r="C93" s="4"/>
      <c r="E93" s="4"/>
    </row>
    <row r="94" spans="1:5" x14ac:dyDescent="0.3">
      <c r="A94" s="8"/>
      <c r="C94" s="4"/>
      <c r="E94" s="4"/>
    </row>
    <row r="95" spans="1:5" x14ac:dyDescent="0.3">
      <c r="A95" s="8"/>
      <c r="C95" s="4"/>
      <c r="E95" s="4"/>
    </row>
    <row r="96" spans="1:5" x14ac:dyDescent="0.3">
      <c r="A96" s="8"/>
      <c r="C96" s="4"/>
      <c r="E96" s="4"/>
    </row>
    <row r="97" spans="1:5" x14ac:dyDescent="0.3">
      <c r="A97" s="8"/>
      <c r="C97" s="4"/>
      <c r="E97" s="4"/>
    </row>
    <row r="98" spans="1:5" x14ac:dyDescent="0.3">
      <c r="A98" s="8"/>
      <c r="C98" s="4"/>
      <c r="E98" s="4"/>
    </row>
    <row r="99" spans="1:5" x14ac:dyDescent="0.3">
      <c r="A99" s="8"/>
      <c r="C99" s="4"/>
      <c r="E99" s="4"/>
    </row>
    <row r="100" spans="1:5" x14ac:dyDescent="0.3">
      <c r="A100" s="8"/>
      <c r="C100" s="4"/>
      <c r="E100" s="4"/>
    </row>
    <row r="101" spans="1:5" x14ac:dyDescent="0.3">
      <c r="A101" s="8"/>
      <c r="C101" s="4"/>
      <c r="E101" s="4"/>
    </row>
    <row r="102" spans="1:5" x14ac:dyDescent="0.3">
      <c r="A102" s="8"/>
      <c r="C102" s="4"/>
      <c r="E102" s="4"/>
    </row>
    <row r="103" spans="1:5" x14ac:dyDescent="0.3">
      <c r="A103" s="8"/>
      <c r="C103" s="4"/>
      <c r="E103" s="4"/>
    </row>
    <row r="104" spans="1:5" x14ac:dyDescent="0.3">
      <c r="A104" s="8"/>
      <c r="C104" s="4"/>
      <c r="E104" s="4"/>
    </row>
    <row r="105" spans="1:5" x14ac:dyDescent="0.3">
      <c r="A105" s="10"/>
      <c r="B105" s="4"/>
      <c r="C105" s="4"/>
    </row>
    <row r="106" spans="1:5" x14ac:dyDescent="0.3">
      <c r="A106" s="10"/>
      <c r="B106" s="4"/>
      <c r="C106" s="4"/>
    </row>
    <row r="107" spans="1:5" x14ac:dyDescent="0.3">
      <c r="A107" s="10"/>
      <c r="B107" s="4"/>
      <c r="C107" s="4"/>
    </row>
    <row r="108" spans="1:5" x14ac:dyDescent="0.3">
      <c r="A108" s="10"/>
      <c r="B108" s="4"/>
      <c r="C108" s="4"/>
    </row>
    <row r="109" spans="1:5" x14ac:dyDescent="0.3">
      <c r="A109" s="10"/>
      <c r="B109" s="4"/>
      <c r="C109" s="4"/>
    </row>
    <row r="110" spans="1:5" x14ac:dyDescent="0.3">
      <c r="A110" s="10"/>
      <c r="B110" s="4"/>
      <c r="C110" s="4"/>
    </row>
    <row r="111" spans="1:5" x14ac:dyDescent="0.3">
      <c r="A111" s="10"/>
      <c r="B111" s="4"/>
      <c r="C111" s="4"/>
    </row>
    <row r="112" spans="1:5" x14ac:dyDescent="0.3">
      <c r="A112" s="10"/>
      <c r="B112" s="4"/>
      <c r="C112" s="4"/>
    </row>
    <row r="113" spans="1:3" x14ac:dyDescent="0.3">
      <c r="A113" s="10"/>
      <c r="B113" s="4"/>
      <c r="C113" s="4"/>
    </row>
    <row r="114" spans="1:3" x14ac:dyDescent="0.3">
      <c r="A114" s="10"/>
      <c r="B114" s="4"/>
      <c r="C114" s="4"/>
    </row>
    <row r="115" spans="1:3" x14ac:dyDescent="0.3">
      <c r="A115" s="10"/>
      <c r="B115" s="4"/>
      <c r="C115" s="4"/>
    </row>
    <row r="116" spans="1:3" x14ac:dyDescent="0.3">
      <c r="A116" s="10"/>
      <c r="B116" s="4"/>
      <c r="C116" s="4"/>
    </row>
    <row r="117" spans="1:3" x14ac:dyDescent="0.3">
      <c r="A117" s="10"/>
      <c r="B117" s="4"/>
      <c r="C117" s="4"/>
    </row>
    <row r="118" spans="1:3" x14ac:dyDescent="0.3">
      <c r="A118" s="10"/>
      <c r="B118" s="4"/>
      <c r="C118" s="4"/>
    </row>
    <row r="119" spans="1:3" x14ac:dyDescent="0.3">
      <c r="A119" s="10"/>
      <c r="B119" s="4"/>
      <c r="C119" s="4"/>
    </row>
    <row r="120" spans="1:3" x14ac:dyDescent="0.3">
      <c r="A120" s="10"/>
      <c r="B120" s="4"/>
      <c r="C120" s="4"/>
    </row>
    <row r="121" spans="1:3" x14ac:dyDescent="0.3">
      <c r="A121" s="10"/>
      <c r="B121" s="4"/>
      <c r="C121" s="4"/>
    </row>
    <row r="122" spans="1:3" x14ac:dyDescent="0.3">
      <c r="A122" s="10"/>
      <c r="B122" s="4"/>
      <c r="C122" s="4"/>
    </row>
    <row r="123" spans="1:3" x14ac:dyDescent="0.3">
      <c r="A123" s="10"/>
      <c r="B123" s="4"/>
      <c r="C123" s="4"/>
    </row>
    <row r="124" spans="1:3" x14ac:dyDescent="0.3">
      <c r="A124" s="10"/>
      <c r="B124" s="4"/>
      <c r="C124" s="4"/>
    </row>
    <row r="125" spans="1:3" x14ac:dyDescent="0.3">
      <c r="A125" s="10"/>
      <c r="B125" s="4"/>
      <c r="C125" s="4"/>
    </row>
    <row r="126" spans="1:3" x14ac:dyDescent="0.3">
      <c r="A126" s="10"/>
      <c r="B126" s="4"/>
      <c r="C126" s="4"/>
    </row>
    <row r="127" spans="1:3" x14ac:dyDescent="0.3">
      <c r="A127" s="10"/>
      <c r="B127" s="4"/>
      <c r="C127" s="4"/>
    </row>
    <row r="128" spans="1:3" x14ac:dyDescent="0.3">
      <c r="A128" s="10"/>
      <c r="B128" s="4"/>
      <c r="C128" s="4"/>
    </row>
    <row r="129" spans="1:3" x14ac:dyDescent="0.3">
      <c r="A129" s="10"/>
      <c r="B129" s="4"/>
      <c r="C129" s="4"/>
    </row>
    <row r="130" spans="1:3" x14ac:dyDescent="0.3">
      <c r="A130" s="10"/>
      <c r="B130" s="4"/>
      <c r="C130" s="4"/>
    </row>
    <row r="131" spans="1:3" x14ac:dyDescent="0.3">
      <c r="A131" s="10"/>
      <c r="B131" s="4"/>
      <c r="C131" s="4"/>
    </row>
    <row r="132" spans="1:3" x14ac:dyDescent="0.3">
      <c r="A132" s="10"/>
      <c r="B132" s="4"/>
      <c r="C132" s="4"/>
    </row>
    <row r="133" spans="1:3" x14ac:dyDescent="0.3">
      <c r="A133" s="10"/>
      <c r="B133" s="4"/>
      <c r="C133" s="4"/>
    </row>
    <row r="134" spans="1:3" x14ac:dyDescent="0.3">
      <c r="A134" s="10"/>
      <c r="B134" s="4"/>
      <c r="C134" s="4"/>
    </row>
    <row r="135" spans="1:3" x14ac:dyDescent="0.3">
      <c r="A135" s="10"/>
      <c r="B135" s="4"/>
      <c r="C135" s="4"/>
    </row>
    <row r="136" spans="1:3" x14ac:dyDescent="0.3">
      <c r="A136" s="10"/>
      <c r="B136" s="4"/>
      <c r="C136" s="4"/>
    </row>
    <row r="137" spans="1:3" x14ac:dyDescent="0.3">
      <c r="A137" s="10"/>
      <c r="B137" s="4"/>
      <c r="C137" s="4"/>
    </row>
    <row r="138" spans="1:3" x14ac:dyDescent="0.3">
      <c r="A138" s="10"/>
      <c r="B138" s="4"/>
      <c r="C138" s="4"/>
    </row>
    <row r="139" spans="1:3" x14ac:dyDescent="0.3">
      <c r="A139" s="10"/>
      <c r="B139" s="4"/>
      <c r="C139" s="4"/>
    </row>
    <row r="140" spans="1:3" x14ac:dyDescent="0.3">
      <c r="A140" s="10"/>
      <c r="B140" s="4"/>
      <c r="C140" s="4"/>
    </row>
    <row r="141" spans="1:3" x14ac:dyDescent="0.3">
      <c r="A141" s="10"/>
      <c r="B141" s="4"/>
      <c r="C141" s="4"/>
    </row>
    <row r="142" spans="1:3" x14ac:dyDescent="0.3">
      <c r="A142" s="10"/>
      <c r="B142" s="4"/>
      <c r="C142" s="4"/>
    </row>
    <row r="143" spans="1:3" x14ac:dyDescent="0.3">
      <c r="A143" s="10"/>
      <c r="B143" s="4"/>
      <c r="C143" s="4"/>
    </row>
    <row r="144" spans="1:3" x14ac:dyDescent="0.3">
      <c r="A144" s="10"/>
      <c r="B144" s="4"/>
      <c r="C144" s="4"/>
    </row>
    <row r="145" spans="1:3" x14ac:dyDescent="0.3">
      <c r="A145" s="10"/>
      <c r="B145" s="4"/>
      <c r="C145" s="4"/>
    </row>
    <row r="146" spans="1:3" x14ac:dyDescent="0.3">
      <c r="A146" s="10"/>
      <c r="B146" s="4"/>
      <c r="C146" s="4"/>
    </row>
    <row r="147" spans="1:3" x14ac:dyDescent="0.3">
      <c r="A147" s="10"/>
      <c r="B147" s="4"/>
      <c r="C147" s="4"/>
    </row>
    <row r="148" spans="1:3" x14ac:dyDescent="0.3">
      <c r="A148" s="10"/>
      <c r="B148" s="4"/>
      <c r="C148" s="4"/>
    </row>
    <row r="149" spans="1:3" x14ac:dyDescent="0.3">
      <c r="A149" s="10"/>
      <c r="B149" s="4"/>
      <c r="C149" s="4"/>
    </row>
    <row r="150" spans="1:3" x14ac:dyDescent="0.3">
      <c r="A150" s="10"/>
      <c r="B150" s="4"/>
      <c r="C150" s="4"/>
    </row>
    <row r="151" spans="1:3" x14ac:dyDescent="0.3">
      <c r="A151" s="10"/>
      <c r="B151" s="4"/>
      <c r="C151" s="4"/>
    </row>
    <row r="152" spans="1:3" x14ac:dyDescent="0.3">
      <c r="A152" s="10"/>
      <c r="B152" s="4"/>
      <c r="C152" s="4"/>
    </row>
    <row r="153" spans="1:3" x14ac:dyDescent="0.3">
      <c r="A153" s="10"/>
      <c r="B153" s="4"/>
      <c r="C153" s="4"/>
    </row>
    <row r="154" spans="1:3" x14ac:dyDescent="0.3">
      <c r="A154" s="10"/>
      <c r="B154" s="4"/>
      <c r="C154" s="4"/>
    </row>
    <row r="155" spans="1:3" x14ac:dyDescent="0.3">
      <c r="A155" s="10"/>
      <c r="B155" s="4"/>
      <c r="C155" s="4"/>
    </row>
    <row r="156" spans="1:3" x14ac:dyDescent="0.3">
      <c r="A156" s="10"/>
      <c r="B156" s="4"/>
      <c r="C156" s="4"/>
    </row>
    <row r="157" spans="1:3" x14ac:dyDescent="0.3">
      <c r="A157" s="10"/>
      <c r="B157" s="4"/>
      <c r="C157" s="4"/>
    </row>
    <row r="158" spans="1:3" x14ac:dyDescent="0.3">
      <c r="A158" s="10"/>
      <c r="B158" s="4"/>
      <c r="C158" s="4"/>
    </row>
    <row r="159" spans="1:3" x14ac:dyDescent="0.3">
      <c r="A159" s="10"/>
      <c r="B159" s="4"/>
      <c r="C159" s="4"/>
    </row>
    <row r="160" spans="1:3" x14ac:dyDescent="0.3">
      <c r="A160" s="10"/>
      <c r="B160" s="4"/>
      <c r="C160" s="4"/>
    </row>
    <row r="161" spans="1:3" x14ac:dyDescent="0.3">
      <c r="A161" s="10"/>
      <c r="B161" s="4"/>
      <c r="C161" s="4"/>
    </row>
    <row r="162" spans="1:3" x14ac:dyDescent="0.3">
      <c r="A162" s="10"/>
      <c r="B162" s="4"/>
      <c r="C162" s="4"/>
    </row>
    <row r="163" spans="1:3" x14ac:dyDescent="0.3">
      <c r="A163" s="10"/>
      <c r="B163" s="4"/>
      <c r="C163" s="4"/>
    </row>
    <row r="164" spans="1:3" x14ac:dyDescent="0.3">
      <c r="A164" s="10"/>
      <c r="B164" s="4"/>
      <c r="C164" s="4"/>
    </row>
    <row r="165" spans="1:3" x14ac:dyDescent="0.3">
      <c r="A165" s="10"/>
      <c r="B165" s="4"/>
      <c r="C165" s="4"/>
    </row>
    <row r="166" spans="1:3" x14ac:dyDescent="0.3">
      <c r="A166" s="10"/>
      <c r="B166" s="4"/>
      <c r="C166" s="4"/>
    </row>
    <row r="167" spans="1:3" x14ac:dyDescent="0.3">
      <c r="A167" s="10"/>
      <c r="B167" s="4"/>
      <c r="C167" s="4"/>
    </row>
    <row r="168" spans="1:3" x14ac:dyDescent="0.3">
      <c r="A168" s="10"/>
      <c r="B168" s="4"/>
      <c r="C168" s="4"/>
    </row>
    <row r="169" spans="1:3" x14ac:dyDescent="0.3">
      <c r="A169" s="10"/>
      <c r="B169" s="4"/>
      <c r="C169" s="4"/>
    </row>
    <row r="170" spans="1:3" x14ac:dyDescent="0.3">
      <c r="A170" s="10"/>
      <c r="B170" s="4"/>
      <c r="C170" s="4"/>
    </row>
    <row r="171" spans="1:3" x14ac:dyDescent="0.3">
      <c r="A171" s="10"/>
      <c r="B171" s="4"/>
      <c r="C171" s="4"/>
    </row>
    <row r="172" spans="1:3" x14ac:dyDescent="0.3">
      <c r="A172" s="10"/>
      <c r="B172" s="4"/>
      <c r="C172" s="4"/>
    </row>
    <row r="173" spans="1:3" x14ac:dyDescent="0.3">
      <c r="A173" s="10"/>
      <c r="B173" s="4"/>
      <c r="C173" s="4"/>
    </row>
    <row r="174" spans="1:3" x14ac:dyDescent="0.3">
      <c r="A174" s="10"/>
      <c r="B174" s="4"/>
      <c r="C174" s="4"/>
    </row>
    <row r="175" spans="1:3" x14ac:dyDescent="0.3">
      <c r="A175" s="10"/>
      <c r="B175" s="4"/>
      <c r="C175" s="4"/>
    </row>
    <row r="176" spans="1:3" x14ac:dyDescent="0.3">
      <c r="A176" s="10"/>
      <c r="B176" s="4"/>
      <c r="C176" s="4"/>
    </row>
    <row r="177" spans="1:3" x14ac:dyDescent="0.3">
      <c r="A177" s="10"/>
      <c r="B177" s="4"/>
      <c r="C177" s="4"/>
    </row>
    <row r="178" spans="1:3" x14ac:dyDescent="0.3">
      <c r="A178" s="10"/>
      <c r="B178" s="4"/>
      <c r="C178" s="4"/>
    </row>
    <row r="179" spans="1:3" x14ac:dyDescent="0.3">
      <c r="A179" s="10"/>
      <c r="B179" s="4"/>
      <c r="C179" s="4"/>
    </row>
    <row r="180" spans="1:3" x14ac:dyDescent="0.3">
      <c r="A180" s="10"/>
      <c r="B180" s="4"/>
      <c r="C180" s="4"/>
    </row>
    <row r="181" spans="1:3" x14ac:dyDescent="0.3">
      <c r="A181" s="10"/>
      <c r="B181" s="4"/>
      <c r="C181" s="4"/>
    </row>
    <row r="182" spans="1:3" x14ac:dyDescent="0.3">
      <c r="A182" s="10"/>
      <c r="B182" s="4"/>
      <c r="C182" s="4"/>
    </row>
    <row r="183" spans="1:3" x14ac:dyDescent="0.3">
      <c r="A183" s="10"/>
      <c r="B183" s="4"/>
      <c r="C183" s="4"/>
    </row>
    <row r="184" spans="1:3" x14ac:dyDescent="0.3">
      <c r="A184" s="10"/>
      <c r="B184" s="4"/>
      <c r="C184" s="4"/>
    </row>
    <row r="185" spans="1:3" x14ac:dyDescent="0.3">
      <c r="A185" s="10"/>
      <c r="B185" s="4"/>
      <c r="C185" s="4"/>
    </row>
    <row r="186" spans="1:3" x14ac:dyDescent="0.3">
      <c r="A186" s="10"/>
      <c r="B186" s="4"/>
      <c r="C186" s="4"/>
    </row>
    <row r="187" spans="1:3" x14ac:dyDescent="0.3">
      <c r="A187" s="10"/>
      <c r="B187" s="4"/>
      <c r="C187" s="4"/>
    </row>
    <row r="188" spans="1:3" x14ac:dyDescent="0.3">
      <c r="A188" s="10"/>
      <c r="B188" s="4"/>
      <c r="C188" s="4"/>
    </row>
    <row r="189" spans="1:3" x14ac:dyDescent="0.3">
      <c r="A189" s="10"/>
      <c r="B189" s="4"/>
      <c r="C189" s="4"/>
    </row>
    <row r="190" spans="1:3" x14ac:dyDescent="0.3">
      <c r="A190" s="10"/>
      <c r="B190" s="4"/>
      <c r="C190" s="4"/>
    </row>
    <row r="191" spans="1:3" x14ac:dyDescent="0.3">
      <c r="A191" s="10"/>
      <c r="B191" s="4"/>
      <c r="C191" s="4"/>
    </row>
    <row r="192" spans="1:3" x14ac:dyDescent="0.3">
      <c r="A192" s="10"/>
      <c r="B192" s="4"/>
      <c r="C192" s="4"/>
    </row>
    <row r="193" spans="1:3" x14ac:dyDescent="0.3">
      <c r="A193" s="10"/>
      <c r="B193" s="4"/>
      <c r="C193" s="4"/>
    </row>
    <row r="194" spans="1:3" x14ac:dyDescent="0.3">
      <c r="A194" s="10"/>
      <c r="B194" s="4"/>
      <c r="C194" s="4"/>
    </row>
    <row r="195" spans="1:3" x14ac:dyDescent="0.3">
      <c r="A195" s="10"/>
      <c r="B195" s="4"/>
      <c r="C195" s="4"/>
    </row>
    <row r="196" spans="1:3" x14ac:dyDescent="0.3">
      <c r="A196" s="10"/>
      <c r="B196" s="4"/>
      <c r="C196" s="4"/>
    </row>
    <row r="197" spans="1:3" x14ac:dyDescent="0.3">
      <c r="A197" s="10"/>
      <c r="B197" s="4"/>
      <c r="C197" s="4"/>
    </row>
    <row r="198" spans="1:3" x14ac:dyDescent="0.3">
      <c r="A198" s="10"/>
      <c r="B198" s="4"/>
      <c r="C198" s="4"/>
    </row>
    <row r="199" spans="1:3" x14ac:dyDescent="0.3">
      <c r="A199" s="10"/>
      <c r="B199" s="4"/>
      <c r="C199" s="4"/>
    </row>
    <row r="200" spans="1:3" x14ac:dyDescent="0.3">
      <c r="A200" s="10"/>
      <c r="B200" s="4"/>
      <c r="C200" s="4"/>
    </row>
    <row r="201" spans="1:3" x14ac:dyDescent="0.3">
      <c r="A201" s="10"/>
      <c r="B201" s="4"/>
      <c r="C201" s="4"/>
    </row>
    <row r="202" spans="1:3" x14ac:dyDescent="0.3">
      <c r="A202" s="10"/>
      <c r="B202" s="4"/>
      <c r="C202" s="4"/>
    </row>
    <row r="203" spans="1:3" x14ac:dyDescent="0.3">
      <c r="A203" s="10"/>
      <c r="B203" s="4"/>
      <c r="C203" s="4"/>
    </row>
    <row r="204" spans="1:3" x14ac:dyDescent="0.3">
      <c r="A204" s="10"/>
      <c r="B204" s="4"/>
      <c r="C204" s="4"/>
    </row>
    <row r="205" spans="1:3" x14ac:dyDescent="0.3">
      <c r="A205" s="10"/>
      <c r="B205" s="4"/>
      <c r="C205" s="4"/>
    </row>
    <row r="206" spans="1:3" x14ac:dyDescent="0.3">
      <c r="A206" s="10"/>
      <c r="B206" s="4"/>
      <c r="C206" s="4"/>
    </row>
    <row r="207" spans="1:3" x14ac:dyDescent="0.3">
      <c r="A207" s="10"/>
      <c r="B207" s="4"/>
      <c r="C207" s="4"/>
    </row>
    <row r="208" spans="1:3" x14ac:dyDescent="0.3">
      <c r="A208" s="10"/>
      <c r="B208" s="4"/>
      <c r="C208" s="4"/>
    </row>
    <row r="209" spans="1:3" x14ac:dyDescent="0.3">
      <c r="A209" s="10"/>
      <c r="B209" s="4"/>
      <c r="C209" s="4"/>
    </row>
    <row r="210" spans="1:3" x14ac:dyDescent="0.3">
      <c r="A210" s="10"/>
      <c r="B210" s="4"/>
      <c r="C210" s="4"/>
    </row>
    <row r="211" spans="1:3" x14ac:dyDescent="0.3">
      <c r="A211" s="10"/>
      <c r="B211" s="4"/>
      <c r="C211" s="4"/>
    </row>
    <row r="212" spans="1:3" x14ac:dyDescent="0.3">
      <c r="A212" s="10"/>
      <c r="B212" s="4"/>
      <c r="C212" s="4"/>
    </row>
    <row r="213" spans="1:3" x14ac:dyDescent="0.3">
      <c r="A213" s="10"/>
      <c r="B213" s="4"/>
      <c r="C213" s="4"/>
    </row>
    <row r="214" spans="1:3" x14ac:dyDescent="0.3">
      <c r="A214" s="10"/>
      <c r="B214" s="4"/>
      <c r="C214" s="4"/>
    </row>
    <row r="215" spans="1:3" x14ac:dyDescent="0.3">
      <c r="A215" s="10"/>
      <c r="B215" s="4"/>
      <c r="C215" s="4"/>
    </row>
    <row r="216" spans="1:3" x14ac:dyDescent="0.3">
      <c r="A216" s="10"/>
      <c r="B216" s="4"/>
      <c r="C216" s="4"/>
    </row>
    <row r="217" spans="1:3" x14ac:dyDescent="0.3">
      <c r="A217" s="10"/>
      <c r="B217" s="4"/>
      <c r="C217" s="4"/>
    </row>
    <row r="218" spans="1:3" x14ac:dyDescent="0.3">
      <c r="A218" s="10"/>
      <c r="B218" s="4"/>
      <c r="C218" s="4"/>
    </row>
    <row r="219" spans="1:3" x14ac:dyDescent="0.3">
      <c r="A219" s="10"/>
      <c r="B219" s="4"/>
      <c r="C219" s="4"/>
    </row>
    <row r="220" spans="1:3" x14ac:dyDescent="0.3">
      <c r="A220" s="10"/>
      <c r="B220" s="4"/>
      <c r="C220" s="4"/>
    </row>
    <row r="221" spans="1:3" x14ac:dyDescent="0.3">
      <c r="A221" s="10"/>
      <c r="B221" s="4"/>
      <c r="C221" s="4"/>
    </row>
    <row r="222" spans="1:3" x14ac:dyDescent="0.3">
      <c r="A222" s="10"/>
      <c r="B222" s="4"/>
      <c r="C222" s="4"/>
    </row>
    <row r="223" spans="1:3" x14ac:dyDescent="0.3">
      <c r="A223" s="10"/>
      <c r="B223" s="4"/>
      <c r="C223" s="4"/>
    </row>
    <row r="224" spans="1:3" x14ac:dyDescent="0.3">
      <c r="A224" s="10"/>
      <c r="B224" s="4"/>
      <c r="C224" s="4"/>
    </row>
    <row r="225" spans="1:3" x14ac:dyDescent="0.3">
      <c r="A225" s="10"/>
      <c r="B225" s="4"/>
      <c r="C225" s="4"/>
    </row>
    <row r="226" spans="1:3" x14ac:dyDescent="0.3">
      <c r="A226" s="10"/>
      <c r="B226" s="4"/>
      <c r="C226" s="4"/>
    </row>
    <row r="227" spans="1:3" x14ac:dyDescent="0.3">
      <c r="A227" s="10"/>
      <c r="B227" s="4"/>
      <c r="C227" s="4"/>
    </row>
    <row r="228" spans="1:3" x14ac:dyDescent="0.3">
      <c r="A228" s="10"/>
      <c r="B228" s="4"/>
      <c r="C228" s="4"/>
    </row>
    <row r="229" spans="1:3" x14ac:dyDescent="0.3">
      <c r="A229" s="10"/>
      <c r="B229" s="4"/>
      <c r="C229" s="4"/>
    </row>
    <row r="230" spans="1:3" x14ac:dyDescent="0.3">
      <c r="A230" s="10"/>
      <c r="B230" s="4"/>
      <c r="C230" s="4"/>
    </row>
    <row r="231" spans="1:3" x14ac:dyDescent="0.3">
      <c r="A231" s="10"/>
      <c r="B231" s="4"/>
      <c r="C231" s="4"/>
    </row>
    <row r="232" spans="1:3" x14ac:dyDescent="0.3">
      <c r="A232" s="10"/>
      <c r="B232" s="4"/>
      <c r="C232" s="4"/>
    </row>
    <row r="233" spans="1:3" x14ac:dyDescent="0.3">
      <c r="A233" s="10"/>
      <c r="B233" s="4"/>
      <c r="C233" s="4"/>
    </row>
    <row r="234" spans="1:3" x14ac:dyDescent="0.3">
      <c r="A234" s="10"/>
      <c r="B234" s="4"/>
      <c r="C234" s="4"/>
    </row>
    <row r="235" spans="1:3" x14ac:dyDescent="0.3">
      <c r="A235" s="10"/>
      <c r="B235" s="4"/>
      <c r="C235" s="4"/>
    </row>
    <row r="236" spans="1:3" x14ac:dyDescent="0.3">
      <c r="A236" s="10"/>
      <c r="B236" s="4"/>
      <c r="C236" s="4"/>
    </row>
    <row r="237" spans="1:3" x14ac:dyDescent="0.3">
      <c r="A237" s="10"/>
      <c r="B237" s="4"/>
      <c r="C237" s="4"/>
    </row>
    <row r="238" spans="1:3" x14ac:dyDescent="0.3">
      <c r="A238" s="10"/>
      <c r="B238" s="4"/>
      <c r="C238" s="4"/>
    </row>
    <row r="239" spans="1:3" x14ac:dyDescent="0.3">
      <c r="A239" s="10"/>
      <c r="B239" s="4"/>
      <c r="C239" s="4"/>
    </row>
    <row r="240" spans="1:3" x14ac:dyDescent="0.3">
      <c r="A240" s="10"/>
      <c r="B240" s="4"/>
      <c r="C240" s="4"/>
    </row>
    <row r="241" spans="1:3" x14ac:dyDescent="0.3">
      <c r="A241" s="10"/>
      <c r="B241" s="4"/>
      <c r="C241" s="4"/>
    </row>
    <row r="242" spans="1:3" x14ac:dyDescent="0.3">
      <c r="A242" s="10"/>
      <c r="B242" s="4"/>
      <c r="C242" s="4"/>
    </row>
    <row r="243" spans="1:3" x14ac:dyDescent="0.3">
      <c r="A243" s="10"/>
      <c r="B243" s="4"/>
      <c r="C243" s="4"/>
    </row>
    <row r="244" spans="1:3" x14ac:dyDescent="0.3">
      <c r="A244" s="10"/>
      <c r="B244" s="4"/>
      <c r="C244" s="4"/>
    </row>
    <row r="245" spans="1:3" x14ac:dyDescent="0.3">
      <c r="A245" s="10"/>
      <c r="B245" s="4"/>
      <c r="C245" s="4"/>
    </row>
    <row r="246" spans="1:3" x14ac:dyDescent="0.3">
      <c r="A246" s="10"/>
      <c r="B246" s="4"/>
      <c r="C246" s="4"/>
    </row>
    <row r="247" spans="1:3" x14ac:dyDescent="0.3">
      <c r="A247" s="10"/>
      <c r="B247" s="4"/>
      <c r="C247" s="4"/>
    </row>
    <row r="248" spans="1:3" x14ac:dyDescent="0.3">
      <c r="A248" s="10"/>
      <c r="B248" s="4"/>
      <c r="C248" s="4"/>
    </row>
    <row r="249" spans="1:3" x14ac:dyDescent="0.3">
      <c r="A249" s="10"/>
      <c r="B249" s="4"/>
      <c r="C249" s="4"/>
    </row>
    <row r="250" spans="1:3" x14ac:dyDescent="0.3">
      <c r="A250" s="10"/>
      <c r="B250" s="4"/>
      <c r="C250" s="4"/>
    </row>
    <row r="251" spans="1:3" x14ac:dyDescent="0.3">
      <c r="A251" s="10"/>
      <c r="B251" s="4"/>
      <c r="C251" s="4"/>
    </row>
    <row r="252" spans="1:3" x14ac:dyDescent="0.3">
      <c r="A252" s="10"/>
      <c r="B252" s="4"/>
      <c r="C252" s="4"/>
    </row>
    <row r="253" spans="1:3" x14ac:dyDescent="0.3">
      <c r="A253" s="10"/>
      <c r="B253" s="4"/>
      <c r="C253" s="4"/>
    </row>
    <row r="254" spans="1:3" x14ac:dyDescent="0.3">
      <c r="A254" s="10"/>
      <c r="B254" s="4"/>
      <c r="C254" s="4"/>
    </row>
    <row r="255" spans="1:3" x14ac:dyDescent="0.3">
      <c r="A255" s="10"/>
      <c r="B255" s="4"/>
      <c r="C255" s="4"/>
    </row>
    <row r="256" spans="1:3" x14ac:dyDescent="0.3">
      <c r="A256" s="10"/>
      <c r="B256" s="4"/>
      <c r="C256" s="4"/>
    </row>
    <row r="257" spans="1:3" x14ac:dyDescent="0.3">
      <c r="A257" s="10"/>
      <c r="B257" s="4"/>
      <c r="C257" s="4"/>
    </row>
    <row r="258" spans="1:3" x14ac:dyDescent="0.3">
      <c r="A258" s="10"/>
      <c r="B258" s="4"/>
      <c r="C258" s="4"/>
    </row>
    <row r="259" spans="1:3" x14ac:dyDescent="0.3">
      <c r="A259" s="10"/>
      <c r="B259" s="4"/>
      <c r="C259" s="4"/>
    </row>
    <row r="260" spans="1:3" x14ac:dyDescent="0.3">
      <c r="A260" s="10"/>
      <c r="B260" s="4"/>
      <c r="C260" s="4"/>
    </row>
    <row r="261" spans="1:3" x14ac:dyDescent="0.3">
      <c r="A261" s="10"/>
      <c r="B261" s="4"/>
      <c r="C261" s="4"/>
    </row>
    <row r="262" spans="1:3" x14ac:dyDescent="0.3">
      <c r="A262" s="10"/>
      <c r="B262" s="4"/>
      <c r="C262" s="4"/>
    </row>
    <row r="263" spans="1:3" x14ac:dyDescent="0.3">
      <c r="A263" s="10"/>
      <c r="B263" s="4"/>
      <c r="C263" s="4"/>
    </row>
    <row r="264" spans="1:3" x14ac:dyDescent="0.3">
      <c r="A264" s="10"/>
      <c r="B264" s="4"/>
      <c r="C264" s="4"/>
    </row>
    <row r="265" spans="1:3" x14ac:dyDescent="0.3">
      <c r="A265" s="10"/>
      <c r="B265" s="4"/>
      <c r="C265" s="4"/>
    </row>
    <row r="266" spans="1:3" x14ac:dyDescent="0.3">
      <c r="A266" s="10"/>
      <c r="B266" s="4"/>
      <c r="C266" s="4"/>
    </row>
    <row r="267" spans="1:3" x14ac:dyDescent="0.3">
      <c r="A267" s="10"/>
      <c r="B267" s="4"/>
      <c r="C267" s="4"/>
    </row>
    <row r="268" spans="1:3" x14ac:dyDescent="0.3">
      <c r="A268" s="10"/>
      <c r="B268" s="4"/>
      <c r="C268" s="4"/>
    </row>
    <row r="269" spans="1:3" x14ac:dyDescent="0.3">
      <c r="A269" s="10"/>
      <c r="B269" s="4"/>
      <c r="C269" s="4"/>
    </row>
    <row r="270" spans="1:3" x14ac:dyDescent="0.3">
      <c r="A270" s="10"/>
      <c r="B270" s="4"/>
      <c r="C270" s="4"/>
    </row>
    <row r="271" spans="1:3" x14ac:dyDescent="0.3">
      <c r="A271" s="10"/>
      <c r="B271" s="4"/>
      <c r="C271" s="4"/>
    </row>
    <row r="272" spans="1:3" x14ac:dyDescent="0.3">
      <c r="A272" s="10"/>
      <c r="B272" s="4"/>
      <c r="C272" s="4"/>
    </row>
    <row r="273" spans="1:3" x14ac:dyDescent="0.3">
      <c r="A273" s="10"/>
      <c r="B273" s="4"/>
      <c r="C273" s="4"/>
    </row>
    <row r="274" spans="1:3" x14ac:dyDescent="0.3">
      <c r="A274" s="10"/>
      <c r="B274" s="4"/>
      <c r="C274" s="4"/>
    </row>
    <row r="275" spans="1:3" x14ac:dyDescent="0.3">
      <c r="A275" s="10"/>
      <c r="B275" s="4"/>
      <c r="C275" s="4"/>
    </row>
    <row r="276" spans="1:3" x14ac:dyDescent="0.3">
      <c r="A276" s="10"/>
      <c r="B276" s="4"/>
      <c r="C276" s="4"/>
    </row>
    <row r="277" spans="1:3" x14ac:dyDescent="0.3">
      <c r="A277" s="10"/>
      <c r="B277" s="4"/>
      <c r="C277" s="4"/>
    </row>
    <row r="278" spans="1:3" x14ac:dyDescent="0.3">
      <c r="A278" s="10"/>
      <c r="B278" s="4"/>
      <c r="C278" s="4"/>
    </row>
    <row r="279" spans="1:3" x14ac:dyDescent="0.3">
      <c r="A279" s="10"/>
      <c r="B279" s="4"/>
      <c r="C279" s="4"/>
    </row>
    <row r="280" spans="1:3" x14ac:dyDescent="0.3">
      <c r="A280" s="10"/>
      <c r="B280" s="4"/>
      <c r="C280" s="4"/>
    </row>
    <row r="281" spans="1:3" x14ac:dyDescent="0.3">
      <c r="A281" s="10"/>
      <c r="B281" s="4"/>
      <c r="C281" s="4"/>
    </row>
    <row r="282" spans="1:3" x14ac:dyDescent="0.3">
      <c r="A282" s="10"/>
      <c r="B282" s="4"/>
      <c r="C282" s="4"/>
    </row>
    <row r="283" spans="1:3" x14ac:dyDescent="0.3">
      <c r="A283" s="10"/>
      <c r="B283" s="4"/>
      <c r="C283" s="4"/>
    </row>
    <row r="284" spans="1:3" x14ac:dyDescent="0.3">
      <c r="A284" s="10"/>
      <c r="B284" s="4"/>
      <c r="C284" s="4"/>
    </row>
    <row r="285" spans="1:3" x14ac:dyDescent="0.3">
      <c r="A285" s="10"/>
      <c r="B285" s="4"/>
      <c r="C285" s="4"/>
    </row>
    <row r="286" spans="1:3" x14ac:dyDescent="0.3">
      <c r="A286" s="10"/>
      <c r="B286" s="4"/>
      <c r="C286" s="4"/>
    </row>
    <row r="287" spans="1:3" x14ac:dyDescent="0.3">
      <c r="A287" s="10"/>
      <c r="B287" s="4"/>
      <c r="C287" s="4"/>
    </row>
    <row r="288" spans="1:3" x14ac:dyDescent="0.3">
      <c r="A288" s="10"/>
      <c r="B288" s="4"/>
      <c r="C288" s="4"/>
    </row>
    <row r="289" spans="1:3" x14ac:dyDescent="0.3">
      <c r="A289" s="10"/>
      <c r="B289" s="4"/>
      <c r="C289" s="4"/>
    </row>
    <row r="290" spans="1:3" x14ac:dyDescent="0.3">
      <c r="A290" s="10"/>
      <c r="B290" s="4"/>
      <c r="C290" s="4"/>
    </row>
    <row r="291" spans="1:3" x14ac:dyDescent="0.3">
      <c r="A291" s="10"/>
      <c r="B291" s="4"/>
      <c r="C291" s="4"/>
    </row>
    <row r="292" spans="1:3" x14ac:dyDescent="0.3">
      <c r="A292" s="10"/>
      <c r="B292" s="4"/>
      <c r="C292" s="4"/>
    </row>
    <row r="293" spans="1:3" x14ac:dyDescent="0.3">
      <c r="A293" s="10"/>
      <c r="B293" s="4"/>
      <c r="C293" s="4"/>
    </row>
    <row r="294" spans="1:3" x14ac:dyDescent="0.3">
      <c r="A294" s="10"/>
      <c r="B294" s="4"/>
      <c r="C294" s="4"/>
    </row>
    <row r="295" spans="1:3" x14ac:dyDescent="0.3">
      <c r="A295" s="10"/>
      <c r="B295" s="4"/>
      <c r="C295" s="4"/>
    </row>
    <row r="296" spans="1:3" x14ac:dyDescent="0.3">
      <c r="A296" s="10"/>
      <c r="B296" s="4"/>
      <c r="C296" s="4"/>
    </row>
    <row r="297" spans="1:3" x14ac:dyDescent="0.3">
      <c r="A297" s="10"/>
      <c r="B297" s="4"/>
      <c r="C297" s="4"/>
    </row>
    <row r="298" spans="1:3" x14ac:dyDescent="0.3">
      <c r="A298" s="10"/>
      <c r="B298" s="4"/>
      <c r="C298" s="4"/>
    </row>
    <row r="299" spans="1:3" x14ac:dyDescent="0.3">
      <c r="A299" s="10"/>
      <c r="B299" s="4"/>
      <c r="C299" s="4"/>
    </row>
    <row r="300" spans="1:3" x14ac:dyDescent="0.3">
      <c r="A300" s="10"/>
      <c r="B300" s="4"/>
      <c r="C300" s="4"/>
    </row>
    <row r="301" spans="1:3" x14ac:dyDescent="0.3">
      <c r="A301" s="10"/>
      <c r="B301" s="4"/>
      <c r="C301" s="4"/>
    </row>
    <row r="302" spans="1:3" x14ac:dyDescent="0.3">
      <c r="A302" s="10"/>
      <c r="B302" s="4"/>
      <c r="C302" s="4"/>
    </row>
    <row r="303" spans="1:3" x14ac:dyDescent="0.3">
      <c r="A303" s="10"/>
      <c r="B303" s="4"/>
      <c r="C303" s="4"/>
    </row>
    <row r="304" spans="1:3" x14ac:dyDescent="0.3">
      <c r="A304" s="10"/>
      <c r="B304" s="4"/>
      <c r="C304" s="4"/>
    </row>
    <row r="305" spans="1:3" x14ac:dyDescent="0.3">
      <c r="A305" s="10"/>
      <c r="B305" s="4"/>
      <c r="C305" s="4"/>
    </row>
    <row r="306" spans="1:3" x14ac:dyDescent="0.3">
      <c r="A306" s="10"/>
      <c r="B306" s="4"/>
      <c r="C306" s="4"/>
    </row>
    <row r="307" spans="1:3" x14ac:dyDescent="0.3">
      <c r="A307" s="10"/>
      <c r="B307" s="4"/>
      <c r="C307" s="4"/>
    </row>
    <row r="308" spans="1:3" x14ac:dyDescent="0.3">
      <c r="A308" s="10"/>
      <c r="B308" s="4"/>
      <c r="C308" s="4"/>
    </row>
    <row r="309" spans="1:3" x14ac:dyDescent="0.3">
      <c r="A309" s="10"/>
      <c r="B309" s="4"/>
      <c r="C309" s="4"/>
    </row>
    <row r="310" spans="1:3" x14ac:dyDescent="0.3">
      <c r="A310" s="10"/>
      <c r="B310" s="4"/>
      <c r="C310" s="4"/>
    </row>
    <row r="311" spans="1:3" x14ac:dyDescent="0.3">
      <c r="A311" s="10"/>
      <c r="B311" s="4"/>
      <c r="C311" s="4"/>
    </row>
    <row r="312" spans="1:3" x14ac:dyDescent="0.3">
      <c r="A312" s="10"/>
      <c r="B312" s="4"/>
      <c r="C312" s="4"/>
    </row>
    <row r="313" spans="1:3" x14ac:dyDescent="0.3">
      <c r="A313" s="10"/>
      <c r="B313" s="4"/>
      <c r="C313" s="4"/>
    </row>
    <row r="314" spans="1:3" x14ac:dyDescent="0.3">
      <c r="A314" s="10"/>
      <c r="B314" s="4"/>
      <c r="C314" s="4"/>
    </row>
    <row r="315" spans="1:3" x14ac:dyDescent="0.3">
      <c r="A315" s="10"/>
      <c r="B315" s="4"/>
      <c r="C315" s="4"/>
    </row>
    <row r="316" spans="1:3" x14ac:dyDescent="0.3">
      <c r="A316" s="10"/>
      <c r="B316" s="4"/>
      <c r="C316" s="4"/>
    </row>
    <row r="317" spans="1:3" x14ac:dyDescent="0.3">
      <c r="A317" s="10"/>
      <c r="B317" s="4"/>
      <c r="C317" s="4"/>
    </row>
    <row r="318" spans="1:3" x14ac:dyDescent="0.3">
      <c r="A318" s="10"/>
      <c r="B318" s="4"/>
      <c r="C318" s="4"/>
    </row>
    <row r="319" spans="1:3" x14ac:dyDescent="0.3">
      <c r="A319" s="10"/>
      <c r="B319" s="4"/>
      <c r="C319" s="4"/>
    </row>
    <row r="320" spans="1:3" x14ac:dyDescent="0.3">
      <c r="A320" s="10"/>
      <c r="B320" s="4"/>
      <c r="C320" s="4"/>
    </row>
    <row r="321" spans="1:3" x14ac:dyDescent="0.3">
      <c r="A321" s="10"/>
      <c r="B321" s="4"/>
      <c r="C321" s="4"/>
    </row>
    <row r="322" spans="1:3" x14ac:dyDescent="0.3">
      <c r="A322" s="10"/>
      <c r="B322" s="4"/>
      <c r="C322" s="4"/>
    </row>
    <row r="323" spans="1:3" x14ac:dyDescent="0.3">
      <c r="A323" s="10"/>
      <c r="B323" s="4"/>
      <c r="C323" s="4"/>
    </row>
    <row r="324" spans="1:3" x14ac:dyDescent="0.3">
      <c r="A324" s="10"/>
      <c r="B324" s="4"/>
      <c r="C324" s="4"/>
    </row>
    <row r="325" spans="1:3" x14ac:dyDescent="0.3">
      <c r="A325" s="10"/>
      <c r="B325" s="4"/>
      <c r="C325" s="4"/>
    </row>
    <row r="326" spans="1:3" x14ac:dyDescent="0.3">
      <c r="A326" s="10"/>
      <c r="B326" s="4"/>
      <c r="C326" s="4"/>
    </row>
    <row r="327" spans="1:3" x14ac:dyDescent="0.3">
      <c r="A327" s="10"/>
      <c r="B327" s="4"/>
      <c r="C327" s="4"/>
    </row>
    <row r="328" spans="1:3" x14ac:dyDescent="0.3">
      <c r="A328" s="10"/>
      <c r="B328" s="4"/>
      <c r="C328" s="4"/>
    </row>
    <row r="329" spans="1:3" x14ac:dyDescent="0.3">
      <c r="A329" s="10"/>
      <c r="B329" s="4"/>
      <c r="C329" s="4"/>
    </row>
    <row r="330" spans="1:3" x14ac:dyDescent="0.3">
      <c r="A330" s="10"/>
      <c r="B330" s="4"/>
      <c r="C330" s="4"/>
    </row>
    <row r="331" spans="1:3" x14ac:dyDescent="0.3">
      <c r="A331" s="10"/>
      <c r="B331" s="4"/>
      <c r="C331" s="4"/>
    </row>
    <row r="332" spans="1:3" x14ac:dyDescent="0.3">
      <c r="A332" s="10"/>
      <c r="B332" s="4"/>
      <c r="C332" s="4"/>
    </row>
    <row r="333" spans="1:3" x14ac:dyDescent="0.3">
      <c r="A333" s="10"/>
      <c r="B333" s="4"/>
      <c r="C333" s="4"/>
    </row>
    <row r="334" spans="1:3" x14ac:dyDescent="0.3">
      <c r="A334" s="10"/>
      <c r="B334" s="4"/>
      <c r="C334" s="4"/>
    </row>
    <row r="335" spans="1:3" x14ac:dyDescent="0.3">
      <c r="A335" s="10"/>
      <c r="B335" s="4"/>
      <c r="C335" s="4"/>
    </row>
    <row r="336" spans="1:3" x14ac:dyDescent="0.3">
      <c r="A336" s="10"/>
      <c r="B336" s="4"/>
      <c r="C336" s="4"/>
    </row>
    <row r="337" spans="1:3" x14ac:dyDescent="0.3">
      <c r="A337" s="10"/>
      <c r="B337" s="4"/>
      <c r="C337" s="4"/>
    </row>
    <row r="338" spans="1:3" x14ac:dyDescent="0.3">
      <c r="A338" s="10"/>
      <c r="B338" s="4"/>
      <c r="C338" s="4"/>
    </row>
    <row r="339" spans="1:3" x14ac:dyDescent="0.3">
      <c r="A339" s="10"/>
      <c r="B339" s="4"/>
      <c r="C339" s="4"/>
    </row>
    <row r="340" spans="1:3" x14ac:dyDescent="0.3">
      <c r="A340" s="10"/>
      <c r="B340" s="4"/>
      <c r="C340" s="4"/>
    </row>
    <row r="341" spans="1:3" x14ac:dyDescent="0.3">
      <c r="A341" s="10"/>
      <c r="B341" s="4"/>
      <c r="C341" s="4"/>
    </row>
    <row r="342" spans="1:3" x14ac:dyDescent="0.3">
      <c r="A342" s="10"/>
      <c r="B342" s="4"/>
      <c r="C342" s="4"/>
    </row>
    <row r="343" spans="1:3" x14ac:dyDescent="0.3">
      <c r="A343" s="10"/>
      <c r="B343" s="4"/>
      <c r="C343" s="4"/>
    </row>
    <row r="344" spans="1:3" x14ac:dyDescent="0.3">
      <c r="A344" s="10"/>
      <c r="B344" s="4"/>
      <c r="C344" s="4"/>
    </row>
    <row r="345" spans="1:3" x14ac:dyDescent="0.3">
      <c r="A345" s="10"/>
      <c r="B345" s="4"/>
      <c r="C345" s="4"/>
    </row>
    <row r="346" spans="1:3" x14ac:dyDescent="0.3">
      <c r="A346" s="10"/>
      <c r="B346" s="4"/>
      <c r="C346" s="4"/>
    </row>
    <row r="347" spans="1:3" x14ac:dyDescent="0.3">
      <c r="A347" s="10"/>
      <c r="B347" s="4"/>
      <c r="C347" s="4"/>
    </row>
    <row r="348" spans="1:3" x14ac:dyDescent="0.3">
      <c r="A348" s="10"/>
      <c r="B348" s="4"/>
      <c r="C348" s="4"/>
    </row>
    <row r="349" spans="1:3" x14ac:dyDescent="0.3">
      <c r="A349" s="10"/>
      <c r="B349" s="4"/>
      <c r="C349" s="4"/>
    </row>
    <row r="350" spans="1:3" x14ac:dyDescent="0.3">
      <c r="A350" s="10"/>
      <c r="B350" s="4"/>
      <c r="C350" s="4"/>
    </row>
    <row r="351" spans="1:3" x14ac:dyDescent="0.3">
      <c r="A351" s="10"/>
      <c r="B351" s="4"/>
      <c r="C351" s="4"/>
    </row>
    <row r="352" spans="1:3" x14ac:dyDescent="0.3">
      <c r="A352" s="10"/>
      <c r="B352" s="4"/>
      <c r="C352" s="4"/>
    </row>
    <row r="353" spans="1:3" x14ac:dyDescent="0.3">
      <c r="A353" s="10"/>
      <c r="B353" s="4"/>
      <c r="C353" s="4"/>
    </row>
    <row r="354" spans="1:3" x14ac:dyDescent="0.3">
      <c r="A354" s="10"/>
      <c r="B354" s="4"/>
      <c r="C354" s="4"/>
    </row>
    <row r="355" spans="1:3" x14ac:dyDescent="0.3">
      <c r="A355" s="10"/>
      <c r="B355" s="4"/>
      <c r="C355" s="4"/>
    </row>
    <row r="356" spans="1:3" x14ac:dyDescent="0.3">
      <c r="A356" s="10"/>
      <c r="B356" s="4"/>
      <c r="C356" s="4"/>
    </row>
    <row r="357" spans="1:3" x14ac:dyDescent="0.3">
      <c r="A357" s="10"/>
      <c r="B357" s="4"/>
      <c r="C357" s="4"/>
    </row>
    <row r="358" spans="1:3" x14ac:dyDescent="0.3">
      <c r="A358" s="10"/>
      <c r="B358" s="4"/>
      <c r="C358" s="4"/>
    </row>
    <row r="359" spans="1:3" x14ac:dyDescent="0.3">
      <c r="A359" s="10"/>
      <c r="B359" s="4"/>
      <c r="C359" s="4"/>
    </row>
    <row r="360" spans="1:3" x14ac:dyDescent="0.3">
      <c r="A360" s="10"/>
      <c r="B360" s="4"/>
      <c r="C360" s="4"/>
    </row>
    <row r="361" spans="1:3" x14ac:dyDescent="0.3">
      <c r="A361" s="10"/>
      <c r="B361" s="4"/>
      <c r="C361" s="4"/>
    </row>
    <row r="362" spans="1:3" x14ac:dyDescent="0.3">
      <c r="A362" s="10"/>
      <c r="B362" s="4"/>
      <c r="C362" s="4"/>
    </row>
    <row r="363" spans="1:3" x14ac:dyDescent="0.3">
      <c r="A363" s="10"/>
      <c r="B363" s="4"/>
      <c r="C363" s="4"/>
    </row>
    <row r="364" spans="1:3" x14ac:dyDescent="0.3">
      <c r="A364" s="10"/>
      <c r="B364" s="4"/>
      <c r="C364" s="4"/>
    </row>
    <row r="365" spans="1:3" x14ac:dyDescent="0.3">
      <c r="A365" s="10"/>
      <c r="B365" s="4"/>
      <c r="C365" s="4"/>
    </row>
    <row r="366" spans="1:3" x14ac:dyDescent="0.3">
      <c r="A366" s="10"/>
      <c r="B366" s="4"/>
      <c r="C366" s="4"/>
    </row>
    <row r="367" spans="1:3" x14ac:dyDescent="0.3">
      <c r="A367" s="10"/>
      <c r="B367" s="4"/>
      <c r="C367" s="4"/>
    </row>
    <row r="368" spans="1:3" x14ac:dyDescent="0.3">
      <c r="A368" s="10"/>
      <c r="B368" s="4"/>
      <c r="C368" s="4"/>
    </row>
    <row r="369" spans="1:3" x14ac:dyDescent="0.3">
      <c r="A369" s="10"/>
      <c r="B369" s="4"/>
      <c r="C369" s="4"/>
    </row>
    <row r="370" spans="1:3" x14ac:dyDescent="0.3">
      <c r="A370" s="10"/>
      <c r="B370" s="4"/>
      <c r="C370" s="4"/>
    </row>
    <row r="371" spans="1:3" x14ac:dyDescent="0.3">
      <c r="A371" s="10"/>
      <c r="B371" s="4"/>
      <c r="C371" s="4"/>
    </row>
    <row r="372" spans="1:3" x14ac:dyDescent="0.3">
      <c r="A372" s="10"/>
      <c r="B372" s="4"/>
      <c r="C372" s="4"/>
    </row>
    <row r="373" spans="1:3" x14ac:dyDescent="0.3">
      <c r="A373" s="10"/>
      <c r="B373" s="4"/>
      <c r="C373" s="4"/>
    </row>
    <row r="374" spans="1:3" x14ac:dyDescent="0.3">
      <c r="A374" s="10"/>
      <c r="B374" s="4"/>
      <c r="C374" s="4"/>
    </row>
    <row r="375" spans="1:3" x14ac:dyDescent="0.3">
      <c r="A375" s="10"/>
      <c r="B375" s="4"/>
      <c r="C375" s="4"/>
    </row>
    <row r="376" spans="1:3" x14ac:dyDescent="0.3">
      <c r="A376" s="10"/>
      <c r="B376" s="4"/>
      <c r="C376" s="4"/>
    </row>
    <row r="377" spans="1:3" x14ac:dyDescent="0.3">
      <c r="A377" s="10"/>
      <c r="B377" s="4"/>
      <c r="C377" s="4"/>
    </row>
    <row r="378" spans="1:3" x14ac:dyDescent="0.3">
      <c r="A378" s="10"/>
      <c r="B378" s="4"/>
      <c r="C378" s="4"/>
    </row>
    <row r="379" spans="1:3" x14ac:dyDescent="0.3">
      <c r="A379" s="10"/>
      <c r="B379" s="4"/>
      <c r="C379" s="4"/>
    </row>
    <row r="380" spans="1:3" x14ac:dyDescent="0.3">
      <c r="A380" s="10"/>
      <c r="B380" s="4"/>
      <c r="C380" s="4"/>
    </row>
    <row r="381" spans="1:3" x14ac:dyDescent="0.3">
      <c r="A381" s="10"/>
      <c r="B381" s="4"/>
      <c r="C381" s="4"/>
    </row>
    <row r="382" spans="1:3" x14ac:dyDescent="0.3">
      <c r="A382" s="10"/>
      <c r="B382" s="4"/>
      <c r="C382" s="4"/>
    </row>
    <row r="383" spans="1:3" x14ac:dyDescent="0.3">
      <c r="A383" s="10"/>
      <c r="B383" s="4"/>
      <c r="C383" s="4"/>
    </row>
    <row r="384" spans="1:3" x14ac:dyDescent="0.3">
      <c r="A384" s="10"/>
      <c r="B384" s="4"/>
      <c r="C384" s="4"/>
    </row>
    <row r="385" spans="1:3" x14ac:dyDescent="0.3">
      <c r="A385" s="10"/>
      <c r="B385" s="4"/>
      <c r="C385" s="4"/>
    </row>
    <row r="386" spans="1:3" x14ac:dyDescent="0.3">
      <c r="A386" s="10"/>
      <c r="B386" s="4"/>
      <c r="C386" s="4"/>
    </row>
    <row r="387" spans="1:3" x14ac:dyDescent="0.3">
      <c r="A387" s="10"/>
      <c r="B387" s="4"/>
      <c r="C387" s="4"/>
    </row>
    <row r="388" spans="1:3" x14ac:dyDescent="0.3">
      <c r="A388" s="10"/>
      <c r="B388" s="4"/>
      <c r="C388" s="4"/>
    </row>
    <row r="389" spans="1:3" x14ac:dyDescent="0.3">
      <c r="A389" s="10"/>
      <c r="B389" s="4"/>
      <c r="C389" s="4"/>
    </row>
    <row r="390" spans="1:3" x14ac:dyDescent="0.3">
      <c r="A390" s="10"/>
      <c r="B390" s="4"/>
      <c r="C390" s="4"/>
    </row>
    <row r="391" spans="1:3" x14ac:dyDescent="0.3">
      <c r="A391" s="10"/>
      <c r="B391" s="4"/>
      <c r="C391" s="4"/>
    </row>
    <row r="392" spans="1:3" x14ac:dyDescent="0.3">
      <c r="A392" s="10"/>
      <c r="B392" s="4"/>
      <c r="C392" s="4"/>
    </row>
    <row r="393" spans="1:3" x14ac:dyDescent="0.3">
      <c r="A393" s="10"/>
      <c r="B393" s="4"/>
      <c r="C393" s="4"/>
    </row>
    <row r="394" spans="1:3" x14ac:dyDescent="0.3">
      <c r="A394" s="10"/>
      <c r="B394" s="4"/>
      <c r="C394" s="4"/>
    </row>
    <row r="395" spans="1:3" x14ac:dyDescent="0.3">
      <c r="A395" s="10"/>
      <c r="B395" s="4"/>
      <c r="C395" s="4"/>
    </row>
    <row r="396" spans="1:3" x14ac:dyDescent="0.3">
      <c r="A396" s="10"/>
      <c r="B396" s="4"/>
      <c r="C396" s="4"/>
    </row>
    <row r="397" spans="1:3" x14ac:dyDescent="0.3">
      <c r="A397" s="10"/>
      <c r="B397" s="4"/>
      <c r="C397" s="4"/>
    </row>
    <row r="398" spans="1:3" x14ac:dyDescent="0.3">
      <c r="A398" s="10"/>
      <c r="B398" s="4"/>
      <c r="C398" s="4"/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23"/>
  <sheetViews>
    <sheetView workbookViewId="0">
      <selection activeCell="I18" sqref="I18"/>
    </sheetView>
  </sheetViews>
  <sheetFormatPr baseColWidth="10" defaultColWidth="10.88671875" defaultRowHeight="14.4" x14ac:dyDescent="0.3"/>
  <cols>
    <col min="7" max="7" width="12.5546875" customWidth="1"/>
    <col min="9" max="9" width="12" bestFit="1" customWidth="1"/>
  </cols>
  <sheetData>
    <row r="3" spans="2:12" x14ac:dyDescent="0.3">
      <c r="B3" s="2" t="s">
        <v>97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3">
      <c r="B4" s="2"/>
      <c r="C4" s="2"/>
      <c r="D4" s="2"/>
      <c r="E4" s="2"/>
      <c r="F4" s="2"/>
      <c r="G4" s="2"/>
      <c r="H4" s="2"/>
      <c r="I4" s="2"/>
      <c r="J4" s="2"/>
      <c r="K4" s="26"/>
      <c r="L4" s="27" t="s">
        <v>125</v>
      </c>
    </row>
    <row r="5" spans="2:12" x14ac:dyDescent="0.3">
      <c r="B5" s="2"/>
      <c r="C5" s="2" t="s">
        <v>95</v>
      </c>
      <c r="D5" s="2"/>
      <c r="E5" s="2"/>
      <c r="F5" s="2"/>
      <c r="G5" s="2"/>
      <c r="H5" s="2" t="s">
        <v>102</v>
      </c>
      <c r="I5" s="2"/>
      <c r="J5" s="2"/>
      <c r="K5" s="2"/>
      <c r="L5" s="2"/>
    </row>
    <row r="6" spans="2:12" x14ac:dyDescent="0.3">
      <c r="B6" s="2"/>
      <c r="C6" s="2"/>
      <c r="D6" s="2" t="s">
        <v>92</v>
      </c>
      <c r="E6" s="2" t="s">
        <v>93</v>
      </c>
      <c r="F6" s="2" t="s">
        <v>94</v>
      </c>
      <c r="G6" s="2"/>
      <c r="H6" s="2"/>
      <c r="I6" s="2" t="s">
        <v>92</v>
      </c>
      <c r="J6" s="2" t="s">
        <v>93</v>
      </c>
      <c r="K6" s="2" t="s">
        <v>94</v>
      </c>
      <c r="L6" s="2" t="s">
        <v>13</v>
      </c>
    </row>
    <row r="7" spans="2:12" x14ac:dyDescent="0.3">
      <c r="B7" s="2" t="s">
        <v>96</v>
      </c>
      <c r="D7">
        <v>1.1000000000000001</v>
      </c>
      <c r="E7">
        <v>8</v>
      </c>
      <c r="F7">
        <f t="array" ref="F7">AVERAGE(D7:E7)</f>
        <v>4.55</v>
      </c>
      <c r="I7">
        <f>D7/1000</f>
        <v>1.1000000000000001E-3</v>
      </c>
      <c r="J7">
        <f>E7/1000</f>
        <v>8.0000000000000002E-3</v>
      </c>
      <c r="K7" s="25">
        <f>F7/1000</f>
        <v>4.5500000000000002E-3</v>
      </c>
      <c r="L7" s="25" t="s">
        <v>103</v>
      </c>
    </row>
    <row r="8" spans="2:12" x14ac:dyDescent="0.3">
      <c r="B8" s="2" t="s">
        <v>99</v>
      </c>
      <c r="D8">
        <v>2</v>
      </c>
      <c r="E8">
        <v>415</v>
      </c>
      <c r="F8">
        <f t="array" ref="F8">AVERAGE(D8:E8)</f>
        <v>208.5</v>
      </c>
      <c r="I8">
        <f t="shared" ref="I8:I10" si="0">D8/1000</f>
        <v>2E-3</v>
      </c>
      <c r="J8">
        <f t="shared" ref="J8:J10" si="1">E8/1000</f>
        <v>0.41499999999999998</v>
      </c>
      <c r="K8" s="25">
        <f t="shared" ref="K8:K10" si="2">F8/1000</f>
        <v>0.20849999999999999</v>
      </c>
      <c r="L8" s="25" t="s">
        <v>104</v>
      </c>
    </row>
    <row r="9" spans="2:12" x14ac:dyDescent="0.3">
      <c r="B9" s="2" t="s">
        <v>100</v>
      </c>
      <c r="D9">
        <v>27</v>
      </c>
      <c r="E9">
        <v>35</v>
      </c>
      <c r="F9">
        <f t="array" ref="F9">AVERAGE(D9:E9)</f>
        <v>31</v>
      </c>
      <c r="I9">
        <f t="shared" si="0"/>
        <v>2.7E-2</v>
      </c>
      <c r="J9">
        <f t="shared" si="1"/>
        <v>3.5000000000000003E-2</v>
      </c>
      <c r="K9" s="25">
        <f t="shared" si="2"/>
        <v>3.1E-2</v>
      </c>
      <c r="L9" s="25" t="s">
        <v>105</v>
      </c>
    </row>
    <row r="10" spans="2:12" x14ac:dyDescent="0.3">
      <c r="B10" s="2" t="s">
        <v>101</v>
      </c>
      <c r="D10">
        <v>22300</v>
      </c>
      <c r="E10">
        <v>27233</v>
      </c>
      <c r="F10">
        <f t="array" ref="F10">AVERAGE(D10:E10)</f>
        <v>24766.5</v>
      </c>
      <c r="I10">
        <f t="shared" si="0"/>
        <v>22.3</v>
      </c>
      <c r="J10">
        <f t="shared" si="1"/>
        <v>27.233000000000001</v>
      </c>
      <c r="K10" s="5">
        <f t="shared" si="2"/>
        <v>24.766500000000001</v>
      </c>
      <c r="L10" s="5" t="s">
        <v>106</v>
      </c>
    </row>
    <row r="12" spans="2:12" x14ac:dyDescent="0.3">
      <c r="B12" s="2" t="s">
        <v>107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3">
      <c r="B13" s="2" t="s">
        <v>108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3">
      <c r="B14" s="2"/>
      <c r="C14" s="2" t="s">
        <v>98</v>
      </c>
      <c r="D14" s="2"/>
      <c r="E14" s="2"/>
      <c r="F14" s="2"/>
      <c r="G14" s="2"/>
      <c r="H14" s="2" t="s">
        <v>102</v>
      </c>
      <c r="I14" s="2"/>
      <c r="J14" s="2"/>
      <c r="K14" s="2"/>
      <c r="L14" s="2"/>
    </row>
    <row r="15" spans="2:12" x14ac:dyDescent="0.3">
      <c r="B15" s="2"/>
      <c r="C15" s="2"/>
      <c r="D15" s="2" t="s">
        <v>92</v>
      </c>
      <c r="E15" s="2" t="s">
        <v>93</v>
      </c>
      <c r="F15" s="2" t="s">
        <v>94</v>
      </c>
      <c r="G15" s="2"/>
      <c r="H15" s="2"/>
      <c r="I15" s="2" t="s">
        <v>92</v>
      </c>
      <c r="J15" s="2" t="s">
        <v>93</v>
      </c>
      <c r="K15" s="2" t="s">
        <v>94</v>
      </c>
      <c r="L15" s="2" t="s">
        <v>13</v>
      </c>
    </row>
    <row r="16" spans="2:12" x14ac:dyDescent="0.3">
      <c r="B16" s="2" t="s">
        <v>109</v>
      </c>
      <c r="D16">
        <v>0.4355</v>
      </c>
      <c r="E16">
        <v>0.86450000000000005</v>
      </c>
      <c r="F16">
        <v>0.65</v>
      </c>
      <c r="G16" s="24"/>
      <c r="I16">
        <f>D16*1500</f>
        <v>653.25</v>
      </c>
      <c r="J16">
        <f t="shared" ref="J16" si="3">E16*1500</f>
        <v>1296.75</v>
      </c>
      <c r="K16" s="5">
        <f>0.5*(I16+J16)</f>
        <v>975</v>
      </c>
      <c r="L16" s="5" t="s">
        <v>116</v>
      </c>
    </row>
    <row r="17" spans="2:12" x14ac:dyDescent="0.3">
      <c r="B17" s="2" t="s">
        <v>110</v>
      </c>
      <c r="D17">
        <v>0</v>
      </c>
      <c r="E17">
        <v>0.13</v>
      </c>
      <c r="F17">
        <v>6.5000000000000002E-2</v>
      </c>
      <c r="G17" s="24"/>
      <c r="I17">
        <f t="shared" ref="I17:I23" si="4">D17*1500</f>
        <v>0</v>
      </c>
      <c r="J17">
        <f t="shared" ref="J17:J23" si="5">E17*1500</f>
        <v>195</v>
      </c>
      <c r="K17" s="25">
        <f t="shared" ref="K17:K23" si="6">0.5*(I17+J17)</f>
        <v>97.5</v>
      </c>
      <c r="L17" s="25" t="s">
        <v>117</v>
      </c>
    </row>
    <row r="18" spans="2:12" x14ac:dyDescent="0.3">
      <c r="B18" s="2" t="s">
        <v>111</v>
      </c>
      <c r="D18">
        <v>0</v>
      </c>
      <c r="E18">
        <v>0.03</v>
      </c>
      <c r="F18">
        <v>1.4999999999999999E-2</v>
      </c>
      <c r="G18" s="24"/>
      <c r="I18">
        <f t="shared" si="4"/>
        <v>0</v>
      </c>
      <c r="J18">
        <f t="shared" si="5"/>
        <v>45</v>
      </c>
      <c r="K18" s="25">
        <f t="shared" si="6"/>
        <v>22.5</v>
      </c>
      <c r="L18" s="25" t="s">
        <v>118</v>
      </c>
    </row>
    <row r="19" spans="2:12" x14ac:dyDescent="0.3">
      <c r="B19" s="2" t="s">
        <v>85</v>
      </c>
      <c r="D19">
        <v>0.1</v>
      </c>
      <c r="E19">
        <v>0.3</v>
      </c>
      <c r="F19">
        <v>0.2</v>
      </c>
      <c r="G19" s="24"/>
      <c r="I19">
        <f t="shared" si="4"/>
        <v>150</v>
      </c>
      <c r="J19">
        <f t="shared" si="5"/>
        <v>450</v>
      </c>
      <c r="K19" s="5">
        <f t="shared" si="6"/>
        <v>300</v>
      </c>
      <c r="L19" s="5" t="s">
        <v>119</v>
      </c>
    </row>
    <row r="20" spans="2:12" x14ac:dyDescent="0.3">
      <c r="B20" s="2" t="s">
        <v>112</v>
      </c>
      <c r="D20">
        <v>0</v>
      </c>
      <c r="E20">
        <v>8.0999999999999996E-3</v>
      </c>
      <c r="F20">
        <v>2.7000000000000001E-3</v>
      </c>
      <c r="G20" s="24"/>
      <c r="I20">
        <f t="shared" si="4"/>
        <v>0</v>
      </c>
      <c r="J20">
        <f t="shared" si="5"/>
        <v>12.149999999999999</v>
      </c>
      <c r="K20" s="25">
        <f t="shared" si="6"/>
        <v>6.0749999999999993</v>
      </c>
      <c r="L20" s="25" t="s">
        <v>120</v>
      </c>
    </row>
    <row r="21" spans="2:12" x14ac:dyDescent="0.3">
      <c r="B21" s="2" t="s">
        <v>113</v>
      </c>
      <c r="D21">
        <v>0</v>
      </c>
      <c r="E21">
        <v>1.6199999999999999E-3</v>
      </c>
      <c r="F21">
        <v>5.4000000000000001E-4</v>
      </c>
      <c r="G21" s="24"/>
      <c r="I21">
        <f t="shared" si="4"/>
        <v>0</v>
      </c>
      <c r="J21">
        <f t="shared" si="5"/>
        <v>2.4299999999999997</v>
      </c>
      <c r="K21" s="25">
        <f t="shared" si="6"/>
        <v>1.2149999999999999</v>
      </c>
      <c r="L21" s="25" t="s">
        <v>121</v>
      </c>
    </row>
    <row r="22" spans="2:12" x14ac:dyDescent="0.3">
      <c r="B22" s="2" t="s">
        <v>114</v>
      </c>
      <c r="D22">
        <v>0</v>
      </c>
      <c r="E22">
        <v>1.6199999999999999E-3</v>
      </c>
      <c r="F22">
        <v>5.4000000000000001E-4</v>
      </c>
      <c r="G22" s="24"/>
      <c r="I22">
        <f t="shared" si="4"/>
        <v>0</v>
      </c>
      <c r="J22">
        <f t="shared" si="5"/>
        <v>2.4299999999999997</v>
      </c>
      <c r="K22" s="25">
        <f t="shared" si="6"/>
        <v>1.2149999999999999</v>
      </c>
      <c r="L22" s="25" t="s">
        <v>121</v>
      </c>
    </row>
    <row r="23" spans="2:12" x14ac:dyDescent="0.3">
      <c r="B23" s="2" t="s">
        <v>115</v>
      </c>
      <c r="D23">
        <v>0</v>
      </c>
      <c r="E23">
        <v>4.86E-4</v>
      </c>
      <c r="F23">
        <v>1.6200000000000001E-4</v>
      </c>
      <c r="G23" s="24"/>
      <c r="I23">
        <f t="shared" si="4"/>
        <v>0</v>
      </c>
      <c r="J23">
        <f t="shared" si="5"/>
        <v>0.72899999999999998</v>
      </c>
      <c r="K23" s="25">
        <f t="shared" si="6"/>
        <v>0.36449999999999999</v>
      </c>
      <c r="L23" s="25" t="s">
        <v>122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Ancillary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2026-06-23T15:27:06Z</dcterms:modified>
</cp:coreProperties>
</file>