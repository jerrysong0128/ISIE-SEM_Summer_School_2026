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04718202-0C09-453C-84CA-B68C92C151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ver" sheetId="5" r:id="rId1"/>
    <sheet name="New registration" sheetId="11" r:id="rId2"/>
    <sheet name="BEV_share" sheetId="4" r:id="rId3"/>
    <sheet name="Lifetime" sheetId="12" r:id="rId4"/>
    <sheet name="Population" sheetId="14" r:id="rId5"/>
    <sheet name="Passenger_km" sheetId="15" r:id="rId6"/>
    <sheet name="Occupancy rate" sheetId="13" r:id="rId7"/>
    <sheet name="Kilometrage" sheetId="2" r:id="rId8"/>
    <sheet name="Material_intensity" sheetId="7" r:id="rId9"/>
    <sheet name="Recovery_rates" sheetId="8" r:id="rId10"/>
    <sheet name="Env_impacts_primary_materials" sheetId="9" r:id="rId11"/>
    <sheet name="Env_impacts_secondary_materials" sheetId="10" r:id="rId12"/>
    <sheet name="Fuel_Consumption" sheetId="3" r:id="rId13"/>
    <sheet name="GHG_intensity" sheetId="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10" i="4"/>
  <c r="B11" i="4"/>
  <c r="B12" i="4"/>
  <c r="B13" i="4"/>
  <c r="B15" i="4" l="1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14" i="4"/>
</calcChain>
</file>

<file path=xl/sharedStrings.xml><?xml version="1.0" encoding="utf-8"?>
<sst xmlns="http://schemas.openxmlformats.org/spreadsheetml/2006/main" count="161" uniqueCount="110">
  <si>
    <t>year</t>
  </si>
  <si>
    <t>kilometrage (km/vehicle per year)</t>
  </si>
  <si>
    <t>specific fuel consumption in MJ/km, gasoline</t>
  </si>
  <si>
    <t>specific fuel consumption in MJ/km, electric</t>
  </si>
  <si>
    <t>gasoline vehicle share in newly registered vehicles (age-cohort specific)</t>
  </si>
  <si>
    <t>General</t>
  </si>
  <si>
    <t>Both gasoline and electric vehicles are considered.</t>
  </si>
  <si>
    <t>Sheet overview</t>
  </si>
  <si>
    <t>Name</t>
  </si>
  <si>
    <t>description</t>
  </si>
  <si>
    <t>dimensions</t>
  </si>
  <si>
    <t>data source</t>
  </si>
  <si>
    <t>Kilometrage</t>
  </si>
  <si>
    <t>Fuel_Consumption</t>
  </si>
  <si>
    <t>BEV_share</t>
  </si>
  <si>
    <t>GHG_intensity</t>
  </si>
  <si>
    <t>Annual kilometers driven per vehicle</t>
  </si>
  <si>
    <t>12000 km per vehicle per year is a typical value for high-income countries and Germany, in particular. Added another 2000 km/yr to account for the high amoung of leisure travel in Freiburg.</t>
  </si>
  <si>
    <t>MJ per vehicle-km driven</t>
  </si>
  <si>
    <t>Share of battery electric vehicles and gasoline vehicles in new registration of cars.</t>
  </si>
  <si>
    <t>typical values for larger gasoline and average battery electric vehicles</t>
  </si>
  <si>
    <t>Scenario assumption for a steady decarbonisation of electricity supply. For gasoline, 1 kg of direct CO2 emissions delivers ca. 14 MJ of heat from the combustion.</t>
  </si>
  <si>
    <t>unit</t>
  </si>
  <si>
    <t>km/vehicle/yr</t>
  </si>
  <si>
    <t>MJ/km</t>
  </si>
  <si>
    <t>%</t>
  </si>
  <si>
    <t>g of CO2-eq/MJ</t>
  </si>
  <si>
    <t>Material_intensity</t>
  </si>
  <si>
    <t>material intensity of different vehicle types</t>
  </si>
  <si>
    <t>kg per vehicle</t>
  </si>
  <si>
    <t>RECC model v2.5 database, parameter 3_MC_RECC_Vehicles_V1.1, taken from DOI: 10.1111/j.1530-9290.2012.00532.x , DOI: 10.1021/es502930w , and https://greet.es.anl.gov/greet_2_series</t>
  </si>
  <si>
    <t>automotive steel</t>
  </si>
  <si>
    <t>cast iron</t>
  </si>
  <si>
    <t>wrought Al</t>
  </si>
  <si>
    <t>cast Al</t>
  </si>
  <si>
    <t>copper electric grade</t>
  </si>
  <si>
    <t>plastics</t>
  </si>
  <si>
    <t>zinc</t>
  </si>
  <si>
    <t>Internal Combustion Engine, gasoline (ICEG)</t>
  </si>
  <si>
    <t>Battery Electric Vehicles (BEV)</t>
  </si>
  <si>
    <t>material content per vehicle, unit: kg per vehicle</t>
  </si>
  <si>
    <t>recovery rate (secondary material per material in end-of-life vehicles), unit: %</t>
  </si>
  <si>
    <t>baseline scenario</t>
  </si>
  <si>
    <t>advanced scenario</t>
  </si>
  <si>
    <t>Recovery_rates</t>
  </si>
  <si>
    <t>recovery rate in recycling: secondary material per material in end-of-life vehicles</t>
  </si>
  <si>
    <t>impact unit per kg, per kWh, or per m³</t>
  </si>
  <si>
    <t>Material footprint (Raw material equivalent), all materials, kg per kg</t>
  </si>
  <si>
    <t>Material footprint (Raw material equivalent), fossil fuels, kg per kg</t>
  </si>
  <si>
    <t>Material footprint (Raw material equivalent), metal ores, kg per kg</t>
  </si>
  <si>
    <t>Env_impacts_primary_materials</t>
  </si>
  <si>
    <t>Env_impacts_secondary_materials</t>
  </si>
  <si>
    <t>GHG and material footprint of primary material production, from natural resources</t>
  </si>
  <si>
    <t>GHG and material footprint of secondary material production, from waste and scrap</t>
  </si>
  <si>
    <t>RECC model v2.5 database, parameter 4_PY_EoL_RecoveryRate_V2.6 and the references therein. By default, the advanced scenario has the same values as the default scenario, this should be updated during the exercise!</t>
  </si>
  <si>
    <t>lead</t>
  </si>
  <si>
    <t>Calculated with ecoinvent 3.8 via openLCA 1.10.2. No data for Pb, Li, Co!</t>
  </si>
  <si>
    <t>Calculated with ecoinvent 3.8 via openLCA 1.10.2. No data for zinc, Pb, Li, and Co!</t>
  </si>
  <si>
    <t>lithium</t>
  </si>
  <si>
    <t>cobalt</t>
  </si>
  <si>
    <t>year of manufacturing (age-cohort)</t>
  </si>
  <si>
    <t>inflow (new registration) of passenger vehicles, in 1/yr</t>
  </si>
  <si>
    <t>Some of the data in this workbook are rough estimations and indicatons only! For proper scientific work, more accurate and properly referenced data need to be used.</t>
  </si>
  <si>
    <t>Topic: Calculate and analyse scenarios for the stock-flow-service nexus in the European passenger vehicle fleet, spanning passenger and vehicle-km delivered, the vehicle fleet, its energy consumption, material use, and the GHG emissions of energy and material supply.</t>
  </si>
  <si>
    <t>New registration</t>
  </si>
  <si>
    <t>New passenger car registration</t>
  </si>
  <si>
    <t>CAR.M.I9.N.CREG.PC0000.4Z1.N.PN</t>
  </si>
  <si>
    <t>https://data.ecb.europa.eu/data/datasets/CAR/CAR.M.I9.N.CREG.PC0000.4Z1.N.PN</t>
  </si>
  <si>
    <t>Euro area 20 (fixed composition) as of 1 January 2023 (I9)</t>
  </si>
  <si>
    <t>ACEA (European Automobile Manufacturers Association)</t>
  </si>
  <si>
    <t>1/yr</t>
  </si>
  <si>
    <t>Historic (until 2024): https://www.eea.europa.eu/en/analysis/indicators/new-registrations-of-electric-vehicles</t>
  </si>
  <si>
    <t>Future (from 2025 onwards): Scenario assumption for a steady ramp-up to battery electric vehicles</t>
  </si>
  <si>
    <t>Lifetime</t>
  </si>
  <si>
    <t>average vehicle lifetime in the use phase</t>
  </si>
  <si>
    <t>yr</t>
  </si>
  <si>
    <t>age-cohort</t>
  </si>
  <si>
    <t>gasoline vehicle</t>
  </si>
  <si>
    <t>BEV</t>
  </si>
  <si>
    <t>all</t>
  </si>
  <si>
    <t>BEV share in newly registered vehicles (age-cohort specific, grey: historic data)</t>
  </si>
  <si>
    <t>Occupancy rate</t>
  </si>
  <si>
    <t>Exercise part</t>
  </si>
  <si>
    <t>1/2</t>
  </si>
  <si>
    <t>2/3</t>
  </si>
  <si>
    <t>Population</t>
  </si>
  <si>
    <t>million</t>
  </si>
  <si>
    <t>1/2/3</t>
  </si>
  <si>
    <r>
      <t>GHG intensity gasoline (direct and indirect), 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-eq per MJ</t>
    </r>
  </si>
  <si>
    <r>
      <t>GHG intensity electricity, scope 2, 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-eq per MJ</t>
    </r>
  </si>
  <si>
    <t>occupancy rate (person/car or pkm per vkm)</t>
  </si>
  <si>
    <t>population (million)</t>
  </si>
  <si>
    <t>EUROSTAT, calibrated to Euro 20 countries 2025 population. https://ec.europa.eu/eurostat/statistics-explained/index.php?title=Population_projections_in_the_EU</t>
  </si>
  <si>
    <t>total future population (scenario) of the Euro zone</t>
  </si>
  <si>
    <t>New registration of passenger vehicles, Euro zone (20 EURO countries as of Jan 1st, 2023), 1990-2024. See here for the list of countries included: https://en.wikipedia.org/wiki/Eurozone</t>
  </si>
  <si>
    <t>Approximate value, see here for trend and specific data: https://www.energy.gov/eere/vehicles/articles/fotw-1040-july-30-2018-average-vehicle-occupancy-remains-unchanged-2009-2017</t>
  </si>
  <si>
    <t>ACEA Report_Vehicles in use Europe 2017, assumption: longer lifetime for gasoline cars and shorter for BEVs, for instructive purposes only (study different lifetimes), not reflecting the actual sitution.</t>
  </si>
  <si>
    <r>
      <t>ReCiPe Global warming, 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-eq per kg material (ReCiPe 2016, (H))</t>
    </r>
  </si>
  <si>
    <r>
      <t xml:space="preserve">time: </t>
    </r>
    <r>
      <rPr>
        <i/>
        <sz val="11"/>
        <color theme="1"/>
        <rFont val="Calibri"/>
        <family val="2"/>
        <scheme val="minor"/>
      </rPr>
      <t>t</t>
    </r>
  </si>
  <si>
    <r>
      <t xml:space="preserve">age-cohort by technology: </t>
    </r>
    <r>
      <rPr>
        <i/>
        <sz val="11"/>
        <color theme="1"/>
        <rFont val="Calibri"/>
        <family val="2"/>
        <scheme val="minor"/>
      </rPr>
      <t>cT</t>
    </r>
  </si>
  <si>
    <r>
      <t xml:space="preserve">material per drive technology: </t>
    </r>
    <r>
      <rPr>
        <i/>
        <sz val="11"/>
        <color theme="1"/>
        <rFont val="Calibri"/>
        <family val="2"/>
        <scheme val="minor"/>
      </rPr>
      <t>mT</t>
    </r>
  </si>
  <si>
    <r>
      <t xml:space="preserve">material per recycling technology: </t>
    </r>
    <r>
      <rPr>
        <i/>
        <sz val="11"/>
        <color theme="1"/>
        <rFont val="Calibri"/>
        <family val="2"/>
        <scheme val="minor"/>
      </rPr>
      <t>m</t>
    </r>
  </si>
  <si>
    <r>
      <t xml:space="preserve">impact category by material: </t>
    </r>
    <r>
      <rPr>
        <i/>
        <sz val="11"/>
        <color theme="1"/>
        <rFont val="Calibri"/>
        <family val="2"/>
        <scheme val="minor"/>
      </rPr>
      <t>mI</t>
    </r>
  </si>
  <si>
    <r>
      <t xml:space="preserve">technology by time: </t>
    </r>
    <r>
      <rPr>
        <i/>
        <sz val="11"/>
        <color theme="1"/>
        <rFont val="Calibri"/>
        <family val="2"/>
        <scheme val="minor"/>
      </rPr>
      <t>tT</t>
    </r>
  </si>
  <si>
    <t>annual per capita passenger kilometers</t>
  </si>
  <si>
    <t>Passenger_km</t>
  </si>
  <si>
    <t>scenario for future annual per capita passenger-km with passenger vehicles</t>
  </si>
  <si>
    <t>Calibrated to fit the 2024 stock, modest growht assumption of +50 km/yr.</t>
  </si>
  <si>
    <t>GHG intensity of energy supply</t>
  </si>
  <si>
    <t>This excel workbook contains the input data for the Bath_dMFA_2026 Jupyter notebooks 1-5.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</si>
</sst>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2" borderId="0" xfId="0" applyFill="1"/>
    <xf numFmtId="16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/>
    <xf numFmtId="0" fontId="1" fillId="3" borderId="0" xfId="0" applyFont="1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2"/>
  <sheetViews>
    <sheetView tabSelected="1" workbookViewId="0">
      <selection activeCell="D26" sqref="D26"/>
    </sheetView>
  </sheetViews>
  <sheetFormatPr baseColWidth="10" defaultRowHeight="14.4" x14ac:dyDescent="0.3"/>
  <cols>
    <col min="3" max="3" width="16.77734375" customWidth="1"/>
    <col min="4" max="4" width="50.5546875" customWidth="1"/>
    <col min="5" max="5" width="22" customWidth="1"/>
    <col min="6" max="6" width="29.88671875" customWidth="1"/>
  </cols>
  <sheetData>
    <row r="3" spans="2:12" x14ac:dyDescent="0.3">
      <c r="B3" s="1" t="s">
        <v>5</v>
      </c>
      <c r="C3" t="s">
        <v>109</v>
      </c>
    </row>
    <row r="4" spans="2:12" x14ac:dyDescent="0.3">
      <c r="C4" t="s">
        <v>63</v>
      </c>
    </row>
    <row r="5" spans="2:12" x14ac:dyDescent="0.3">
      <c r="C5" t="s">
        <v>6</v>
      </c>
    </row>
    <row r="6" spans="2:12" x14ac:dyDescent="0.3">
      <c r="C6" s="3" t="s">
        <v>62</v>
      </c>
      <c r="D6" s="3"/>
      <c r="E6" s="3"/>
      <c r="F6" s="3"/>
      <c r="G6" s="3"/>
      <c r="H6" s="3"/>
      <c r="I6" s="3"/>
    </row>
    <row r="8" spans="2:12" x14ac:dyDescent="0.3">
      <c r="B8" s="1" t="s">
        <v>7</v>
      </c>
    </row>
    <row r="9" spans="2:12" x14ac:dyDescent="0.3">
      <c r="B9" s="10" t="s">
        <v>82</v>
      </c>
      <c r="C9" s="10" t="s">
        <v>8</v>
      </c>
      <c r="D9" s="10" t="s">
        <v>9</v>
      </c>
      <c r="E9" s="10" t="s">
        <v>22</v>
      </c>
      <c r="F9" s="10" t="s">
        <v>10</v>
      </c>
      <c r="G9" s="10" t="s">
        <v>11</v>
      </c>
      <c r="H9" s="11"/>
      <c r="I9" s="11"/>
      <c r="J9" s="11"/>
      <c r="K9" s="11"/>
      <c r="L9" s="11"/>
    </row>
    <row r="10" spans="2:12" x14ac:dyDescent="0.3">
      <c r="B10" s="5" t="s">
        <v>83</v>
      </c>
      <c r="C10" s="1" t="s">
        <v>64</v>
      </c>
      <c r="D10" t="s">
        <v>94</v>
      </c>
      <c r="E10" t="s">
        <v>70</v>
      </c>
      <c r="F10" t="s">
        <v>98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</row>
    <row r="11" spans="2:12" x14ac:dyDescent="0.3">
      <c r="B11" s="7" t="s">
        <v>87</v>
      </c>
      <c r="C11" s="1" t="s">
        <v>14</v>
      </c>
      <c r="D11" t="s">
        <v>19</v>
      </c>
      <c r="E11" t="s">
        <v>25</v>
      </c>
      <c r="F11" t="s">
        <v>99</v>
      </c>
      <c r="G11" t="s">
        <v>71</v>
      </c>
      <c r="H11" t="s">
        <v>72</v>
      </c>
    </row>
    <row r="12" spans="2:12" x14ac:dyDescent="0.3">
      <c r="B12" s="7" t="s">
        <v>84</v>
      </c>
      <c r="C12" s="1" t="s">
        <v>73</v>
      </c>
      <c r="D12" t="s">
        <v>74</v>
      </c>
      <c r="E12" t="s">
        <v>75</v>
      </c>
      <c r="F12" t="s">
        <v>99</v>
      </c>
      <c r="G12" t="s">
        <v>96</v>
      </c>
    </row>
    <row r="13" spans="2:12" x14ac:dyDescent="0.3">
      <c r="B13" s="7">
        <v>3</v>
      </c>
      <c r="C13" s="1" t="s">
        <v>85</v>
      </c>
      <c r="D13" s="3" t="s">
        <v>93</v>
      </c>
      <c r="E13" t="s">
        <v>86</v>
      </c>
      <c r="F13" t="s">
        <v>98</v>
      </c>
      <c r="G13" t="s">
        <v>92</v>
      </c>
    </row>
    <row r="14" spans="2:12" x14ac:dyDescent="0.3">
      <c r="B14" s="7">
        <v>3</v>
      </c>
      <c r="C14" s="1" t="s">
        <v>105</v>
      </c>
      <c r="D14" s="3" t="s">
        <v>106</v>
      </c>
      <c r="E14" t="s">
        <v>70</v>
      </c>
      <c r="F14" t="s">
        <v>98</v>
      </c>
      <c r="G14" t="s">
        <v>107</v>
      </c>
    </row>
    <row r="15" spans="2:12" x14ac:dyDescent="0.3">
      <c r="B15" s="6">
        <v>3</v>
      </c>
      <c r="C15" s="1" t="s">
        <v>81</v>
      </c>
      <c r="D15" s="3" t="s">
        <v>90</v>
      </c>
      <c r="E15" s="8">
        <v>1</v>
      </c>
      <c r="F15" t="s">
        <v>98</v>
      </c>
      <c r="G15" s="9" t="s">
        <v>95</v>
      </c>
    </row>
    <row r="16" spans="2:12" x14ac:dyDescent="0.3">
      <c r="B16" s="6">
        <v>3</v>
      </c>
      <c r="C16" s="1" t="s">
        <v>12</v>
      </c>
      <c r="D16" t="s">
        <v>16</v>
      </c>
      <c r="E16" t="s">
        <v>23</v>
      </c>
      <c r="F16" t="s">
        <v>98</v>
      </c>
      <c r="G16" t="s">
        <v>17</v>
      </c>
    </row>
    <row r="17" spans="2:7" x14ac:dyDescent="0.3">
      <c r="B17" s="6">
        <v>4</v>
      </c>
      <c r="C17" s="1" t="s">
        <v>27</v>
      </c>
      <c r="D17" t="s">
        <v>28</v>
      </c>
      <c r="E17" t="s">
        <v>29</v>
      </c>
      <c r="F17" t="s">
        <v>100</v>
      </c>
      <c r="G17" t="s">
        <v>30</v>
      </c>
    </row>
    <row r="18" spans="2:7" x14ac:dyDescent="0.3">
      <c r="B18" s="6">
        <v>4</v>
      </c>
      <c r="C18" s="1" t="s">
        <v>44</v>
      </c>
      <c r="D18" t="s">
        <v>45</v>
      </c>
      <c r="E18" t="s">
        <v>25</v>
      </c>
      <c r="F18" t="s">
        <v>101</v>
      </c>
      <c r="G18" t="s">
        <v>54</v>
      </c>
    </row>
    <row r="19" spans="2:7" x14ac:dyDescent="0.3">
      <c r="B19" s="6">
        <v>5</v>
      </c>
      <c r="C19" s="1" t="s">
        <v>50</v>
      </c>
      <c r="D19" t="s">
        <v>52</v>
      </c>
      <c r="E19" t="s">
        <v>46</v>
      </c>
      <c r="F19" t="s">
        <v>102</v>
      </c>
      <c r="G19" t="s">
        <v>56</v>
      </c>
    </row>
    <row r="20" spans="2:7" x14ac:dyDescent="0.3">
      <c r="B20" s="6">
        <v>5</v>
      </c>
      <c r="C20" s="1" t="s">
        <v>51</v>
      </c>
      <c r="D20" t="s">
        <v>53</v>
      </c>
      <c r="E20" t="s">
        <v>46</v>
      </c>
      <c r="F20" t="s">
        <v>102</v>
      </c>
      <c r="G20" t="s">
        <v>57</v>
      </c>
    </row>
    <row r="21" spans="2:7" x14ac:dyDescent="0.3">
      <c r="B21" s="6">
        <v>5</v>
      </c>
      <c r="C21" s="1" t="s">
        <v>13</v>
      </c>
      <c r="D21" t="s">
        <v>18</v>
      </c>
      <c r="E21" t="s">
        <v>24</v>
      </c>
      <c r="F21" t="s">
        <v>99</v>
      </c>
      <c r="G21" t="s">
        <v>20</v>
      </c>
    </row>
    <row r="22" spans="2:7" x14ac:dyDescent="0.3">
      <c r="B22" s="6">
        <v>5</v>
      </c>
      <c r="C22" s="1" t="s">
        <v>15</v>
      </c>
      <c r="D22" t="s">
        <v>108</v>
      </c>
      <c r="E22" t="s">
        <v>26</v>
      </c>
      <c r="F22" t="s">
        <v>103</v>
      </c>
      <c r="G22" t="s">
        <v>21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CD760-ED86-4FA9-B6E1-7C2A7D7C96EC}">
  <dimension ref="A1:B36"/>
  <sheetViews>
    <sheetView workbookViewId="0">
      <selection activeCell="D19" sqref="D19"/>
    </sheetView>
  </sheetViews>
  <sheetFormatPr baseColWidth="10" defaultRowHeight="14.4" x14ac:dyDescent="0.3"/>
  <sheetData>
    <row r="1" spans="1:2" x14ac:dyDescent="0.3">
      <c r="A1" s="1" t="s">
        <v>76</v>
      </c>
      <c r="B1" s="1" t="s">
        <v>61</v>
      </c>
    </row>
    <row r="2" spans="1:2" x14ac:dyDescent="0.3">
      <c r="A2" s="1">
        <v>1990</v>
      </c>
      <c r="B2">
        <v>11019401</v>
      </c>
    </row>
    <row r="3" spans="1:2" x14ac:dyDescent="0.3">
      <c r="A3" s="1">
        <v>1991</v>
      </c>
      <c r="B3">
        <v>11405297</v>
      </c>
    </row>
    <row r="4" spans="1:2" x14ac:dyDescent="0.3">
      <c r="A4" s="1">
        <v>1992</v>
      </c>
      <c r="B4">
        <v>11542280</v>
      </c>
    </row>
    <row r="5" spans="1:2" x14ac:dyDescent="0.3">
      <c r="A5" s="1">
        <v>1993</v>
      </c>
      <c r="B5">
        <v>9124559</v>
      </c>
    </row>
    <row r="6" spans="1:2" x14ac:dyDescent="0.3">
      <c r="A6" s="1">
        <v>1994</v>
      </c>
      <c r="B6">
        <v>9563478</v>
      </c>
    </row>
    <row r="7" spans="1:2" x14ac:dyDescent="0.3">
      <c r="A7" s="1">
        <v>1995</v>
      </c>
      <c r="B7">
        <v>9605003</v>
      </c>
    </row>
    <row r="8" spans="1:2" x14ac:dyDescent="0.3">
      <c r="A8" s="1">
        <v>1996</v>
      </c>
      <c r="B8">
        <v>10246255</v>
      </c>
    </row>
    <row r="9" spans="1:2" x14ac:dyDescent="0.3">
      <c r="A9" s="1">
        <v>1997</v>
      </c>
      <c r="B9">
        <v>10664056</v>
      </c>
    </row>
    <row r="10" spans="1:2" x14ac:dyDescent="0.3">
      <c r="A10" s="1">
        <v>1998</v>
      </c>
      <c r="B10">
        <v>11500833</v>
      </c>
    </row>
    <row r="11" spans="1:2" x14ac:dyDescent="0.3">
      <c r="A11" s="1">
        <v>1999</v>
      </c>
      <c r="B11">
        <v>12233821</v>
      </c>
    </row>
    <row r="12" spans="1:2" x14ac:dyDescent="0.3">
      <c r="A12" s="1">
        <v>2000</v>
      </c>
      <c r="B12">
        <v>11925822</v>
      </c>
    </row>
    <row r="13" spans="1:2" x14ac:dyDescent="0.3">
      <c r="A13" s="1">
        <v>2001</v>
      </c>
      <c r="B13">
        <v>11830143</v>
      </c>
    </row>
    <row r="14" spans="1:2" x14ac:dyDescent="0.3">
      <c r="A14" s="1">
        <v>2002</v>
      </c>
      <c r="B14">
        <v>11297614</v>
      </c>
    </row>
    <row r="15" spans="1:2" x14ac:dyDescent="0.3">
      <c r="A15" s="1">
        <v>2003</v>
      </c>
      <c r="B15">
        <v>11122219</v>
      </c>
    </row>
    <row r="16" spans="1:2" x14ac:dyDescent="0.3">
      <c r="A16" s="1">
        <v>2004</v>
      </c>
      <c r="B16">
        <v>11395758</v>
      </c>
    </row>
    <row r="17" spans="1:2" x14ac:dyDescent="0.3">
      <c r="A17" s="1">
        <v>2005</v>
      </c>
      <c r="B17">
        <v>11473773</v>
      </c>
    </row>
    <row r="18" spans="1:2" x14ac:dyDescent="0.3">
      <c r="A18" s="1">
        <v>2006</v>
      </c>
      <c r="B18">
        <v>11814699</v>
      </c>
    </row>
    <row r="19" spans="1:2" x14ac:dyDescent="0.3">
      <c r="A19" s="1">
        <v>2007</v>
      </c>
      <c r="B19">
        <v>11721299</v>
      </c>
    </row>
    <row r="20" spans="1:2" x14ac:dyDescent="0.3">
      <c r="A20" s="1">
        <v>2008</v>
      </c>
      <c r="B20">
        <v>10827272</v>
      </c>
    </row>
    <row r="21" spans="1:2" x14ac:dyDescent="0.3">
      <c r="A21" s="1">
        <v>2009</v>
      </c>
      <c r="B21">
        <v>11198792</v>
      </c>
    </row>
    <row r="22" spans="1:2" x14ac:dyDescent="0.3">
      <c r="A22" s="1">
        <v>2010</v>
      </c>
      <c r="B22">
        <v>10283902</v>
      </c>
    </row>
    <row r="23" spans="1:2" x14ac:dyDescent="0.3">
      <c r="A23" s="1">
        <v>2011</v>
      </c>
      <c r="B23">
        <v>10146569</v>
      </c>
    </row>
    <row r="24" spans="1:2" x14ac:dyDescent="0.3">
      <c r="A24" s="1">
        <v>2012</v>
      </c>
      <c r="B24">
        <v>8997939</v>
      </c>
    </row>
    <row r="25" spans="1:2" x14ac:dyDescent="0.3">
      <c r="A25" s="1">
        <v>2013</v>
      </c>
      <c r="B25">
        <v>8575297</v>
      </c>
    </row>
    <row r="26" spans="1:2" x14ac:dyDescent="0.3">
      <c r="A26" s="1">
        <v>2014</v>
      </c>
      <c r="B26">
        <v>8905220</v>
      </c>
    </row>
    <row r="27" spans="1:2" x14ac:dyDescent="0.3">
      <c r="A27" s="1">
        <v>2015</v>
      </c>
      <c r="B27">
        <v>9760064</v>
      </c>
    </row>
    <row r="28" spans="1:2" x14ac:dyDescent="0.3">
      <c r="A28" s="1">
        <v>2016</v>
      </c>
      <c r="B28">
        <v>10459768</v>
      </c>
    </row>
    <row r="29" spans="1:2" x14ac:dyDescent="0.3">
      <c r="A29" s="1">
        <v>2017</v>
      </c>
      <c r="B29">
        <v>10982900</v>
      </c>
    </row>
    <row r="30" spans="1:2" x14ac:dyDescent="0.3">
      <c r="A30" s="1">
        <v>2018</v>
      </c>
      <c r="B30">
        <v>11124685</v>
      </c>
    </row>
    <row r="31" spans="1:2" x14ac:dyDescent="0.3">
      <c r="A31" s="1">
        <v>2019</v>
      </c>
      <c r="B31">
        <v>11286768</v>
      </c>
    </row>
    <row r="32" spans="1:2" x14ac:dyDescent="0.3">
      <c r="A32" s="1">
        <v>2020</v>
      </c>
      <c r="B32">
        <v>8541518</v>
      </c>
    </row>
    <row r="33" spans="1:2" x14ac:dyDescent="0.3">
      <c r="A33" s="1">
        <v>2021</v>
      </c>
      <c r="B33">
        <v>8292590</v>
      </c>
    </row>
    <row r="34" spans="1:2" x14ac:dyDescent="0.3">
      <c r="A34" s="1">
        <v>2022</v>
      </c>
      <c r="B34">
        <v>7938277</v>
      </c>
    </row>
    <row r="35" spans="1:2" x14ac:dyDescent="0.3">
      <c r="A35" s="1">
        <v>2023</v>
      </c>
      <c r="B35">
        <v>9094354</v>
      </c>
    </row>
    <row r="36" spans="1:2" x14ac:dyDescent="0.3">
      <c r="A36" s="1">
        <v>2024</v>
      </c>
      <c r="B36">
        <v>9084642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2"/>
  <sheetViews>
    <sheetView topLeftCell="A19" zoomScale="85" zoomScaleNormal="85" workbookViewId="0">
      <selection activeCell="L39" sqref="L39"/>
    </sheetView>
  </sheetViews>
  <sheetFormatPr baseColWidth="10" defaultRowHeight="14.4" x14ac:dyDescent="0.3"/>
  <cols>
    <col min="1" max="1" width="10.6640625" style="1"/>
  </cols>
  <sheetData>
    <row r="1" spans="1:3" x14ac:dyDescent="0.3">
      <c r="A1" s="1" t="s">
        <v>76</v>
      </c>
      <c r="B1" s="1" t="s">
        <v>4</v>
      </c>
      <c r="C1" s="1" t="s">
        <v>80</v>
      </c>
    </row>
    <row r="2" spans="1:3" x14ac:dyDescent="0.3">
      <c r="A2" s="1">
        <v>1990</v>
      </c>
      <c r="B2">
        <f t="shared" ref="B2:B13" si="0">100-C2</f>
        <v>100</v>
      </c>
      <c r="C2" s="4">
        <v>0</v>
      </c>
    </row>
    <row r="3" spans="1:3" x14ac:dyDescent="0.3">
      <c r="A3" s="1">
        <v>1991</v>
      </c>
      <c r="B3">
        <f t="shared" si="0"/>
        <v>100</v>
      </c>
      <c r="C3" s="4">
        <v>0</v>
      </c>
    </row>
    <row r="4" spans="1:3" x14ac:dyDescent="0.3">
      <c r="A4" s="1">
        <v>1992</v>
      </c>
      <c r="B4">
        <f t="shared" si="0"/>
        <v>100</v>
      </c>
      <c r="C4" s="4">
        <v>0</v>
      </c>
    </row>
    <row r="5" spans="1:3" x14ac:dyDescent="0.3">
      <c r="A5" s="1">
        <v>1993</v>
      </c>
      <c r="B5">
        <f t="shared" si="0"/>
        <v>100</v>
      </c>
      <c r="C5" s="4">
        <v>0</v>
      </c>
    </row>
    <row r="6" spans="1:3" x14ac:dyDescent="0.3">
      <c r="A6" s="1">
        <v>1994</v>
      </c>
      <c r="B6">
        <f t="shared" si="0"/>
        <v>100</v>
      </c>
      <c r="C6" s="4">
        <v>0</v>
      </c>
    </row>
    <row r="7" spans="1:3" x14ac:dyDescent="0.3">
      <c r="A7" s="1">
        <v>1995</v>
      </c>
      <c r="B7">
        <f t="shared" si="0"/>
        <v>100</v>
      </c>
      <c r="C7" s="4">
        <v>0</v>
      </c>
    </row>
    <row r="8" spans="1:3" x14ac:dyDescent="0.3">
      <c r="A8" s="1">
        <v>1996</v>
      </c>
      <c r="B8">
        <f t="shared" si="0"/>
        <v>100</v>
      </c>
      <c r="C8" s="4">
        <v>0</v>
      </c>
    </row>
    <row r="9" spans="1:3" x14ac:dyDescent="0.3">
      <c r="A9" s="1">
        <v>1997</v>
      </c>
      <c r="B9">
        <f t="shared" si="0"/>
        <v>100</v>
      </c>
      <c r="C9" s="4">
        <v>0</v>
      </c>
    </row>
    <row r="10" spans="1:3" x14ac:dyDescent="0.3">
      <c r="A10" s="1">
        <v>1998</v>
      </c>
      <c r="B10">
        <f t="shared" si="0"/>
        <v>100</v>
      </c>
      <c r="C10" s="4">
        <v>0</v>
      </c>
    </row>
    <row r="11" spans="1:3" x14ac:dyDescent="0.3">
      <c r="A11" s="1">
        <v>1999</v>
      </c>
      <c r="B11">
        <f t="shared" si="0"/>
        <v>100</v>
      </c>
      <c r="C11" s="4">
        <v>0</v>
      </c>
    </row>
    <row r="12" spans="1:3" x14ac:dyDescent="0.3">
      <c r="A12" s="1">
        <v>2000</v>
      </c>
      <c r="B12">
        <f t="shared" si="0"/>
        <v>100</v>
      </c>
      <c r="C12" s="4">
        <v>0</v>
      </c>
    </row>
    <row r="13" spans="1:3" x14ac:dyDescent="0.3">
      <c r="A13" s="1">
        <v>2001</v>
      </c>
      <c r="B13">
        <f t="shared" si="0"/>
        <v>100</v>
      </c>
      <c r="C13" s="4">
        <v>0</v>
      </c>
    </row>
    <row r="14" spans="1:3" x14ac:dyDescent="0.3">
      <c r="A14" s="1">
        <v>2002</v>
      </c>
      <c r="B14">
        <f>100-C14</f>
        <v>100</v>
      </c>
      <c r="C14" s="4">
        <v>0</v>
      </c>
    </row>
    <row r="15" spans="1:3" x14ac:dyDescent="0.3">
      <c r="A15" s="1">
        <v>2003</v>
      </c>
      <c r="B15">
        <f t="shared" ref="B15:B72" si="1">100-C15</f>
        <v>100</v>
      </c>
      <c r="C15" s="4">
        <v>0</v>
      </c>
    </row>
    <row r="16" spans="1:3" x14ac:dyDescent="0.3">
      <c r="A16" s="1">
        <v>2004</v>
      </c>
      <c r="B16">
        <f t="shared" si="1"/>
        <v>100</v>
      </c>
      <c r="C16" s="4">
        <v>0</v>
      </c>
    </row>
    <row r="17" spans="1:3" x14ac:dyDescent="0.3">
      <c r="A17" s="1">
        <v>2005</v>
      </c>
      <c r="B17">
        <f t="shared" si="1"/>
        <v>100</v>
      </c>
      <c r="C17" s="4">
        <v>0</v>
      </c>
    </row>
    <row r="18" spans="1:3" x14ac:dyDescent="0.3">
      <c r="A18" s="1">
        <v>2006</v>
      </c>
      <c r="B18">
        <f t="shared" si="1"/>
        <v>100</v>
      </c>
      <c r="C18" s="4">
        <v>0</v>
      </c>
    </row>
    <row r="19" spans="1:3" x14ac:dyDescent="0.3">
      <c r="A19" s="1">
        <v>2007</v>
      </c>
      <c r="B19">
        <f t="shared" si="1"/>
        <v>100</v>
      </c>
      <c r="C19" s="4">
        <v>0</v>
      </c>
    </row>
    <row r="20" spans="1:3" x14ac:dyDescent="0.3">
      <c r="A20" s="1">
        <v>2008</v>
      </c>
      <c r="B20">
        <f t="shared" si="1"/>
        <v>100</v>
      </c>
      <c r="C20" s="4">
        <v>0</v>
      </c>
    </row>
    <row r="21" spans="1:3" x14ac:dyDescent="0.3">
      <c r="A21" s="1">
        <v>2009</v>
      </c>
      <c r="B21">
        <f t="shared" si="1"/>
        <v>100</v>
      </c>
      <c r="C21" s="4">
        <v>0</v>
      </c>
    </row>
    <row r="22" spans="1:3" x14ac:dyDescent="0.3">
      <c r="A22" s="1">
        <v>2010</v>
      </c>
      <c r="B22">
        <f t="shared" si="1"/>
        <v>100</v>
      </c>
      <c r="C22" s="4">
        <v>0</v>
      </c>
    </row>
    <row r="23" spans="1:3" x14ac:dyDescent="0.3">
      <c r="A23" s="1">
        <v>2011</v>
      </c>
      <c r="B23">
        <f t="shared" si="1"/>
        <v>99.9</v>
      </c>
      <c r="C23" s="4">
        <v>0.1</v>
      </c>
    </row>
    <row r="24" spans="1:3" x14ac:dyDescent="0.3">
      <c r="A24" s="1">
        <v>2012</v>
      </c>
      <c r="B24">
        <f t="shared" si="1"/>
        <v>99.8</v>
      </c>
      <c r="C24" s="4">
        <v>0.2</v>
      </c>
    </row>
    <row r="25" spans="1:3" x14ac:dyDescent="0.3">
      <c r="A25" s="1">
        <v>2013</v>
      </c>
      <c r="B25">
        <f t="shared" si="1"/>
        <v>99.5</v>
      </c>
      <c r="C25" s="4">
        <v>0.5</v>
      </c>
    </row>
    <row r="26" spans="1:3" x14ac:dyDescent="0.3">
      <c r="A26" s="1">
        <v>2014</v>
      </c>
      <c r="B26">
        <f t="shared" si="1"/>
        <v>99.1</v>
      </c>
      <c r="C26" s="4">
        <v>0.9</v>
      </c>
    </row>
    <row r="27" spans="1:3" x14ac:dyDescent="0.3">
      <c r="A27" s="1">
        <v>2015</v>
      </c>
      <c r="B27">
        <f t="shared" si="1"/>
        <v>98.8</v>
      </c>
      <c r="C27" s="4">
        <v>1.2</v>
      </c>
    </row>
    <row r="28" spans="1:3" x14ac:dyDescent="0.3">
      <c r="A28" s="1">
        <v>2016</v>
      </c>
      <c r="B28">
        <f t="shared" si="1"/>
        <v>99</v>
      </c>
      <c r="C28" s="4">
        <v>1</v>
      </c>
    </row>
    <row r="29" spans="1:3" x14ac:dyDescent="0.3">
      <c r="A29" s="1">
        <v>2017</v>
      </c>
      <c r="B29">
        <f t="shared" si="1"/>
        <v>98.6</v>
      </c>
      <c r="C29" s="4">
        <v>1.4</v>
      </c>
    </row>
    <row r="30" spans="1:3" x14ac:dyDescent="0.3">
      <c r="A30" s="1">
        <v>2018</v>
      </c>
      <c r="B30">
        <f t="shared" si="1"/>
        <v>98.1</v>
      </c>
      <c r="C30" s="4">
        <v>1.9</v>
      </c>
    </row>
    <row r="31" spans="1:3" x14ac:dyDescent="0.3">
      <c r="A31" s="1">
        <v>2019</v>
      </c>
      <c r="B31">
        <f t="shared" si="1"/>
        <v>97.1</v>
      </c>
      <c r="C31" s="4">
        <v>2.9</v>
      </c>
    </row>
    <row r="32" spans="1:3" x14ac:dyDescent="0.3">
      <c r="A32" s="1">
        <v>2020</v>
      </c>
      <c r="B32">
        <f t="shared" si="1"/>
        <v>89.3</v>
      </c>
      <c r="C32" s="4">
        <v>10.7</v>
      </c>
    </row>
    <row r="33" spans="1:3" x14ac:dyDescent="0.3">
      <c r="A33" s="1">
        <v>2021</v>
      </c>
      <c r="B33">
        <f t="shared" si="1"/>
        <v>82</v>
      </c>
      <c r="C33" s="4">
        <v>18</v>
      </c>
    </row>
    <row r="34" spans="1:3" x14ac:dyDescent="0.3">
      <c r="A34" s="1">
        <v>2022</v>
      </c>
      <c r="B34">
        <f t="shared" si="1"/>
        <v>78.400000000000006</v>
      </c>
      <c r="C34" s="4">
        <v>21.6</v>
      </c>
    </row>
    <row r="35" spans="1:3" x14ac:dyDescent="0.3">
      <c r="A35" s="1">
        <v>2023</v>
      </c>
      <c r="B35">
        <f t="shared" si="1"/>
        <v>77.5</v>
      </c>
      <c r="C35" s="4">
        <v>22.5</v>
      </c>
    </row>
    <row r="36" spans="1:3" x14ac:dyDescent="0.3">
      <c r="A36" s="1">
        <v>2024</v>
      </c>
      <c r="B36">
        <f t="shared" si="1"/>
        <v>79.099999999999994</v>
      </c>
      <c r="C36" s="4">
        <v>20.9</v>
      </c>
    </row>
    <row r="37" spans="1:3" x14ac:dyDescent="0.3">
      <c r="A37" s="1">
        <v>2025</v>
      </c>
      <c r="B37">
        <f t="shared" si="1"/>
        <v>78</v>
      </c>
      <c r="C37">
        <v>22</v>
      </c>
    </row>
    <row r="38" spans="1:3" x14ac:dyDescent="0.3">
      <c r="A38" s="1">
        <v>2026</v>
      </c>
      <c r="B38">
        <f t="shared" si="1"/>
        <v>76</v>
      </c>
      <c r="C38">
        <v>24</v>
      </c>
    </row>
    <row r="39" spans="1:3" x14ac:dyDescent="0.3">
      <c r="A39" s="1">
        <v>2027</v>
      </c>
      <c r="B39">
        <f t="shared" si="1"/>
        <v>74</v>
      </c>
      <c r="C39">
        <v>26</v>
      </c>
    </row>
    <row r="40" spans="1:3" x14ac:dyDescent="0.3">
      <c r="A40" s="1">
        <v>2028</v>
      </c>
      <c r="B40">
        <f t="shared" si="1"/>
        <v>72</v>
      </c>
      <c r="C40">
        <v>28</v>
      </c>
    </row>
    <row r="41" spans="1:3" x14ac:dyDescent="0.3">
      <c r="A41" s="1">
        <v>2029</v>
      </c>
      <c r="B41">
        <f t="shared" si="1"/>
        <v>70</v>
      </c>
      <c r="C41">
        <v>30</v>
      </c>
    </row>
    <row r="42" spans="1:3" x14ac:dyDescent="0.3">
      <c r="A42" s="1">
        <v>2030</v>
      </c>
      <c r="B42">
        <f t="shared" si="1"/>
        <v>65</v>
      </c>
      <c r="C42">
        <v>35</v>
      </c>
    </row>
    <row r="43" spans="1:3" x14ac:dyDescent="0.3">
      <c r="A43" s="1">
        <v>2031</v>
      </c>
      <c r="B43">
        <f t="shared" si="1"/>
        <v>60</v>
      </c>
      <c r="C43">
        <v>40</v>
      </c>
    </row>
    <row r="44" spans="1:3" x14ac:dyDescent="0.3">
      <c r="A44" s="1">
        <v>2032</v>
      </c>
      <c r="B44">
        <f t="shared" si="1"/>
        <v>55</v>
      </c>
      <c r="C44">
        <v>45</v>
      </c>
    </row>
    <row r="45" spans="1:3" x14ac:dyDescent="0.3">
      <c r="A45" s="1">
        <v>2033</v>
      </c>
      <c r="B45">
        <f t="shared" si="1"/>
        <v>50</v>
      </c>
      <c r="C45">
        <v>50</v>
      </c>
    </row>
    <row r="46" spans="1:3" x14ac:dyDescent="0.3">
      <c r="A46" s="1">
        <v>2034</v>
      </c>
      <c r="B46">
        <f t="shared" si="1"/>
        <v>45</v>
      </c>
      <c r="C46">
        <v>55</v>
      </c>
    </row>
    <row r="47" spans="1:3" x14ac:dyDescent="0.3">
      <c r="A47" s="1">
        <v>2035</v>
      </c>
      <c r="B47">
        <f t="shared" si="1"/>
        <v>40</v>
      </c>
      <c r="C47">
        <v>60</v>
      </c>
    </row>
    <row r="48" spans="1:3" x14ac:dyDescent="0.3">
      <c r="A48" s="1">
        <v>2036</v>
      </c>
      <c r="B48">
        <f t="shared" si="1"/>
        <v>35</v>
      </c>
      <c r="C48">
        <v>65</v>
      </c>
    </row>
    <row r="49" spans="1:3" x14ac:dyDescent="0.3">
      <c r="A49" s="1">
        <v>2037</v>
      </c>
      <c r="B49">
        <f t="shared" si="1"/>
        <v>30</v>
      </c>
      <c r="C49">
        <v>70</v>
      </c>
    </row>
    <row r="50" spans="1:3" x14ac:dyDescent="0.3">
      <c r="A50" s="1">
        <v>2038</v>
      </c>
      <c r="B50">
        <f t="shared" si="1"/>
        <v>25</v>
      </c>
      <c r="C50">
        <v>75</v>
      </c>
    </row>
    <row r="51" spans="1:3" x14ac:dyDescent="0.3">
      <c r="A51" s="1">
        <v>2039</v>
      </c>
      <c r="B51">
        <f t="shared" si="1"/>
        <v>20</v>
      </c>
      <c r="C51">
        <v>80</v>
      </c>
    </row>
    <row r="52" spans="1:3" x14ac:dyDescent="0.3">
      <c r="A52" s="1">
        <v>2040</v>
      </c>
      <c r="B52">
        <f t="shared" si="1"/>
        <v>15</v>
      </c>
      <c r="C52">
        <v>85</v>
      </c>
    </row>
    <row r="53" spans="1:3" x14ac:dyDescent="0.3">
      <c r="A53" s="1">
        <v>2041</v>
      </c>
      <c r="B53">
        <f t="shared" si="1"/>
        <v>10</v>
      </c>
      <c r="C53">
        <v>90</v>
      </c>
    </row>
    <row r="54" spans="1:3" x14ac:dyDescent="0.3">
      <c r="A54" s="1">
        <v>2042</v>
      </c>
      <c r="B54">
        <f t="shared" si="1"/>
        <v>5</v>
      </c>
      <c r="C54">
        <v>95</v>
      </c>
    </row>
    <row r="55" spans="1:3" x14ac:dyDescent="0.3">
      <c r="A55" s="1">
        <v>2043</v>
      </c>
      <c r="B55">
        <f t="shared" si="1"/>
        <v>0</v>
      </c>
      <c r="C55">
        <v>100</v>
      </c>
    </row>
    <row r="56" spans="1:3" x14ac:dyDescent="0.3">
      <c r="A56" s="1">
        <v>2044</v>
      </c>
      <c r="B56">
        <f t="shared" si="1"/>
        <v>0</v>
      </c>
      <c r="C56">
        <v>100</v>
      </c>
    </row>
    <row r="57" spans="1:3" x14ac:dyDescent="0.3">
      <c r="A57" s="1">
        <v>2045</v>
      </c>
      <c r="B57">
        <f t="shared" si="1"/>
        <v>0</v>
      </c>
      <c r="C57">
        <v>100</v>
      </c>
    </row>
    <row r="58" spans="1:3" x14ac:dyDescent="0.3">
      <c r="A58" s="1">
        <v>2046</v>
      </c>
      <c r="B58">
        <f t="shared" si="1"/>
        <v>0</v>
      </c>
      <c r="C58">
        <v>100</v>
      </c>
    </row>
    <row r="59" spans="1:3" x14ac:dyDescent="0.3">
      <c r="A59" s="1">
        <v>2047</v>
      </c>
      <c r="B59">
        <f t="shared" si="1"/>
        <v>0</v>
      </c>
      <c r="C59">
        <v>100</v>
      </c>
    </row>
    <row r="60" spans="1:3" x14ac:dyDescent="0.3">
      <c r="A60" s="1">
        <v>2048</v>
      </c>
      <c r="B60">
        <f t="shared" si="1"/>
        <v>0</v>
      </c>
      <c r="C60">
        <v>100</v>
      </c>
    </row>
    <row r="61" spans="1:3" x14ac:dyDescent="0.3">
      <c r="A61" s="1">
        <v>2049</v>
      </c>
      <c r="B61">
        <f t="shared" si="1"/>
        <v>0</v>
      </c>
      <c r="C61">
        <v>100</v>
      </c>
    </row>
    <row r="62" spans="1:3" x14ac:dyDescent="0.3">
      <c r="A62" s="1">
        <v>2050</v>
      </c>
      <c r="B62">
        <f t="shared" si="1"/>
        <v>0</v>
      </c>
      <c r="C62">
        <v>100</v>
      </c>
    </row>
    <row r="63" spans="1:3" x14ac:dyDescent="0.3">
      <c r="A63" s="1">
        <v>2051</v>
      </c>
      <c r="B63">
        <f t="shared" si="1"/>
        <v>0</v>
      </c>
      <c r="C63">
        <v>100</v>
      </c>
    </row>
    <row r="64" spans="1:3" x14ac:dyDescent="0.3">
      <c r="A64" s="1">
        <v>2052</v>
      </c>
      <c r="B64">
        <f t="shared" si="1"/>
        <v>0</v>
      </c>
      <c r="C64">
        <v>100</v>
      </c>
    </row>
    <row r="65" spans="1:3" x14ac:dyDescent="0.3">
      <c r="A65" s="1">
        <v>2053</v>
      </c>
      <c r="B65">
        <f t="shared" si="1"/>
        <v>0</v>
      </c>
      <c r="C65">
        <v>100</v>
      </c>
    </row>
    <row r="66" spans="1:3" x14ac:dyDescent="0.3">
      <c r="A66" s="1">
        <v>2054</v>
      </c>
      <c r="B66">
        <f t="shared" si="1"/>
        <v>0</v>
      </c>
      <c r="C66">
        <v>100</v>
      </c>
    </row>
    <row r="67" spans="1:3" x14ac:dyDescent="0.3">
      <c r="A67" s="1">
        <v>2055</v>
      </c>
      <c r="B67">
        <f t="shared" si="1"/>
        <v>0</v>
      </c>
      <c r="C67">
        <v>100</v>
      </c>
    </row>
    <row r="68" spans="1:3" x14ac:dyDescent="0.3">
      <c r="A68" s="1">
        <v>2056</v>
      </c>
      <c r="B68">
        <f t="shared" si="1"/>
        <v>0</v>
      </c>
      <c r="C68">
        <v>100</v>
      </c>
    </row>
    <row r="69" spans="1:3" x14ac:dyDescent="0.3">
      <c r="A69" s="1">
        <v>2057</v>
      </c>
      <c r="B69">
        <f t="shared" si="1"/>
        <v>0</v>
      </c>
      <c r="C69">
        <v>100</v>
      </c>
    </row>
    <row r="70" spans="1:3" x14ac:dyDescent="0.3">
      <c r="A70" s="1">
        <v>2058</v>
      </c>
      <c r="B70">
        <f t="shared" si="1"/>
        <v>0</v>
      </c>
      <c r="C70">
        <v>100</v>
      </c>
    </row>
    <row r="71" spans="1:3" x14ac:dyDescent="0.3">
      <c r="A71" s="1">
        <v>2059</v>
      </c>
      <c r="B71">
        <f t="shared" si="1"/>
        <v>0</v>
      </c>
      <c r="C71">
        <v>100</v>
      </c>
    </row>
    <row r="72" spans="1:3" x14ac:dyDescent="0.3">
      <c r="A72" s="1">
        <v>2060</v>
      </c>
      <c r="B72">
        <f t="shared" si="1"/>
        <v>0</v>
      </c>
      <c r="C72">
        <v>100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922B-E249-4250-B818-E4998E5744CB}">
  <dimension ref="A1:C2"/>
  <sheetViews>
    <sheetView workbookViewId="0">
      <selection activeCell="E15" sqref="E15"/>
    </sheetView>
  </sheetViews>
  <sheetFormatPr baseColWidth="10" defaultRowHeight="14.4" x14ac:dyDescent="0.3"/>
  <sheetData>
    <row r="1" spans="1:3" x14ac:dyDescent="0.3">
      <c r="A1" s="1" t="s">
        <v>76</v>
      </c>
      <c r="B1" s="1" t="s">
        <v>77</v>
      </c>
      <c r="C1" s="1" t="s">
        <v>78</v>
      </c>
    </row>
    <row r="2" spans="1:3" x14ac:dyDescent="0.3">
      <c r="A2" s="1" t="s">
        <v>79</v>
      </c>
      <c r="B2">
        <v>16</v>
      </c>
      <c r="C2">
        <v>13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F34D-6C7D-4597-89B9-4F3D97079122}">
  <dimension ref="A1:B37"/>
  <sheetViews>
    <sheetView topLeftCell="A4" workbookViewId="0">
      <selection activeCell="F13" sqref="F13"/>
    </sheetView>
  </sheetViews>
  <sheetFormatPr baseColWidth="10" defaultRowHeight="14.4" x14ac:dyDescent="0.3"/>
  <sheetData>
    <row r="1" spans="1:2" x14ac:dyDescent="0.3">
      <c r="A1" s="2" t="s">
        <v>0</v>
      </c>
      <c r="B1" s="2" t="s">
        <v>91</v>
      </c>
    </row>
    <row r="2" spans="1:2" x14ac:dyDescent="0.3">
      <c r="A2" s="1">
        <v>2025</v>
      </c>
      <c r="B2">
        <v>351.4</v>
      </c>
    </row>
    <row r="3" spans="1:2" x14ac:dyDescent="0.3">
      <c r="A3" s="1">
        <v>2026</v>
      </c>
      <c r="B3">
        <v>352.45419999999996</v>
      </c>
    </row>
    <row r="4" spans="1:2" x14ac:dyDescent="0.3">
      <c r="A4" s="1">
        <v>2027</v>
      </c>
      <c r="B4">
        <v>353.85979999999995</v>
      </c>
    </row>
    <row r="5" spans="1:2" x14ac:dyDescent="0.3">
      <c r="A5" s="1">
        <v>2028</v>
      </c>
      <c r="B5">
        <v>354.91399999999993</v>
      </c>
    </row>
    <row r="6" spans="1:2" x14ac:dyDescent="0.3">
      <c r="A6" s="1">
        <v>2029</v>
      </c>
      <c r="B6">
        <v>355.26539999999994</v>
      </c>
    </row>
    <row r="7" spans="1:2" x14ac:dyDescent="0.3">
      <c r="A7" s="1">
        <v>2030</v>
      </c>
      <c r="B7">
        <v>355.61680000000001</v>
      </c>
    </row>
    <row r="8" spans="1:2" x14ac:dyDescent="0.3">
      <c r="A8" s="1">
        <v>2031</v>
      </c>
      <c r="B8">
        <v>355.96820000000002</v>
      </c>
    </row>
    <row r="9" spans="1:2" x14ac:dyDescent="0.3">
      <c r="A9" s="1">
        <v>2032</v>
      </c>
      <c r="B9">
        <v>356.31959999999998</v>
      </c>
    </row>
    <row r="10" spans="1:2" x14ac:dyDescent="0.3">
      <c r="A10" s="1">
        <v>2033</v>
      </c>
      <c r="B10">
        <v>356.67099999999999</v>
      </c>
    </row>
    <row r="11" spans="1:2" x14ac:dyDescent="0.3">
      <c r="A11" s="1">
        <v>2034</v>
      </c>
      <c r="B11">
        <v>356.28445999999997</v>
      </c>
    </row>
    <row r="12" spans="1:2" x14ac:dyDescent="0.3">
      <c r="A12" s="1">
        <v>2035</v>
      </c>
      <c r="B12">
        <v>355.89792</v>
      </c>
    </row>
    <row r="13" spans="1:2" x14ac:dyDescent="0.3">
      <c r="A13" s="1">
        <v>2036</v>
      </c>
      <c r="B13">
        <v>355.51137999999997</v>
      </c>
    </row>
    <row r="14" spans="1:2" x14ac:dyDescent="0.3">
      <c r="A14" s="1">
        <v>2037</v>
      </c>
      <c r="B14">
        <v>355.12483999999995</v>
      </c>
    </row>
    <row r="15" spans="1:2" x14ac:dyDescent="0.3">
      <c r="A15" s="1">
        <v>2038</v>
      </c>
      <c r="B15">
        <v>354.73830000000004</v>
      </c>
    </row>
    <row r="16" spans="1:2" x14ac:dyDescent="0.3">
      <c r="A16" s="1">
        <v>2039</v>
      </c>
      <c r="B16">
        <v>354.35176000000001</v>
      </c>
    </row>
    <row r="17" spans="1:2" x14ac:dyDescent="0.3">
      <c r="A17" s="1">
        <v>2040</v>
      </c>
      <c r="B17">
        <v>353.96521999999999</v>
      </c>
    </row>
    <row r="18" spans="1:2" x14ac:dyDescent="0.3">
      <c r="A18" s="1">
        <v>2041</v>
      </c>
      <c r="B18">
        <v>353.57868000000002</v>
      </c>
    </row>
    <row r="19" spans="1:2" x14ac:dyDescent="0.3">
      <c r="A19" s="1">
        <v>2042</v>
      </c>
      <c r="B19">
        <v>353.19213999999999</v>
      </c>
    </row>
    <row r="20" spans="1:2" x14ac:dyDescent="0.3">
      <c r="A20" s="1">
        <v>2043</v>
      </c>
      <c r="B20">
        <v>352.80559999999997</v>
      </c>
    </row>
    <row r="21" spans="1:2" x14ac:dyDescent="0.3">
      <c r="A21" s="1">
        <v>2044</v>
      </c>
      <c r="B21">
        <v>352.41906</v>
      </c>
    </row>
    <row r="22" spans="1:2" x14ac:dyDescent="0.3">
      <c r="A22" s="1">
        <v>2045</v>
      </c>
      <c r="B22">
        <v>352.03251999999998</v>
      </c>
    </row>
    <row r="23" spans="1:2" x14ac:dyDescent="0.3">
      <c r="A23" s="1">
        <v>2046</v>
      </c>
      <c r="B23">
        <v>351.64598000000001</v>
      </c>
    </row>
    <row r="24" spans="1:2" x14ac:dyDescent="0.3">
      <c r="A24" s="1">
        <v>2047</v>
      </c>
      <c r="B24">
        <v>351.25943999999998</v>
      </c>
    </row>
    <row r="25" spans="1:2" x14ac:dyDescent="0.3">
      <c r="A25" s="1">
        <v>2048</v>
      </c>
      <c r="B25">
        <v>350.87289999999996</v>
      </c>
    </row>
    <row r="26" spans="1:2" x14ac:dyDescent="0.3">
      <c r="A26" s="1">
        <v>2049</v>
      </c>
      <c r="B26">
        <v>350.48635999999999</v>
      </c>
    </row>
    <row r="27" spans="1:2" x14ac:dyDescent="0.3">
      <c r="A27" s="1">
        <v>2050</v>
      </c>
      <c r="B27">
        <v>350.09981999999997</v>
      </c>
    </row>
    <row r="28" spans="1:2" x14ac:dyDescent="0.3">
      <c r="A28" s="1">
        <v>2051</v>
      </c>
      <c r="B28">
        <v>349.71327999999994</v>
      </c>
    </row>
    <row r="29" spans="1:2" x14ac:dyDescent="0.3">
      <c r="A29" s="1">
        <v>2052</v>
      </c>
      <c r="B29">
        <v>349.32673999999997</v>
      </c>
    </row>
    <row r="30" spans="1:2" x14ac:dyDescent="0.3">
      <c r="A30" s="1">
        <v>2053</v>
      </c>
      <c r="B30">
        <v>348.94019999999995</v>
      </c>
    </row>
    <row r="31" spans="1:2" x14ac:dyDescent="0.3">
      <c r="A31" s="1">
        <v>2054</v>
      </c>
      <c r="B31">
        <v>348.55365999999992</v>
      </c>
    </row>
    <row r="32" spans="1:2" x14ac:dyDescent="0.3">
      <c r="A32" s="1">
        <v>2055</v>
      </c>
      <c r="B32">
        <v>348.16712000000001</v>
      </c>
    </row>
    <row r="33" spans="1:2" x14ac:dyDescent="0.3">
      <c r="A33" s="1">
        <v>2056</v>
      </c>
      <c r="B33">
        <v>347.78057999999999</v>
      </c>
    </row>
    <row r="34" spans="1:2" x14ac:dyDescent="0.3">
      <c r="A34" s="1">
        <v>2057</v>
      </c>
      <c r="B34">
        <v>347.39403999999996</v>
      </c>
    </row>
    <row r="35" spans="1:2" x14ac:dyDescent="0.3">
      <c r="A35" s="1">
        <v>2058</v>
      </c>
      <c r="B35">
        <v>347.00749999999999</v>
      </c>
    </row>
    <row r="36" spans="1:2" x14ac:dyDescent="0.3">
      <c r="A36" s="1">
        <v>2059</v>
      </c>
      <c r="B36">
        <v>346.62095999999997</v>
      </c>
    </row>
    <row r="37" spans="1:2" x14ac:dyDescent="0.3">
      <c r="A37" s="1">
        <v>2060</v>
      </c>
      <c r="B37">
        <v>346.23441999999994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AC045-3C53-46A3-B3C4-7C5A456AD81B}">
  <dimension ref="A1:B37"/>
  <sheetViews>
    <sheetView workbookViewId="0">
      <selection activeCell="A30" sqref="A30:XFD30"/>
    </sheetView>
  </sheetViews>
  <sheetFormatPr baseColWidth="10" defaultRowHeight="14.4" x14ac:dyDescent="0.3"/>
  <sheetData>
    <row r="1" spans="1:2" x14ac:dyDescent="0.3">
      <c r="A1" s="2" t="s">
        <v>0</v>
      </c>
      <c r="B1" s="2" t="s">
        <v>104</v>
      </c>
    </row>
    <row r="2" spans="1:2" x14ac:dyDescent="0.3">
      <c r="A2" s="1">
        <v>2025</v>
      </c>
      <c r="B2">
        <v>8950</v>
      </c>
    </row>
    <row r="3" spans="1:2" x14ac:dyDescent="0.3">
      <c r="A3" s="1">
        <v>2026</v>
      </c>
      <c r="B3">
        <v>9000</v>
      </c>
    </row>
    <row r="4" spans="1:2" x14ac:dyDescent="0.3">
      <c r="A4" s="1">
        <v>2027</v>
      </c>
      <c r="B4">
        <v>9050</v>
      </c>
    </row>
    <row r="5" spans="1:2" x14ac:dyDescent="0.3">
      <c r="A5" s="1">
        <v>2028</v>
      </c>
      <c r="B5">
        <v>9100</v>
      </c>
    </row>
    <row r="6" spans="1:2" x14ac:dyDescent="0.3">
      <c r="A6" s="1">
        <v>2029</v>
      </c>
      <c r="B6">
        <v>9150</v>
      </c>
    </row>
    <row r="7" spans="1:2" x14ac:dyDescent="0.3">
      <c r="A7" s="1">
        <v>2030</v>
      </c>
      <c r="B7">
        <v>9200</v>
      </c>
    </row>
    <row r="8" spans="1:2" x14ac:dyDescent="0.3">
      <c r="A8" s="1">
        <v>2031</v>
      </c>
      <c r="B8">
        <v>9250</v>
      </c>
    </row>
    <row r="9" spans="1:2" x14ac:dyDescent="0.3">
      <c r="A9" s="1">
        <v>2032</v>
      </c>
      <c r="B9">
        <v>9300</v>
      </c>
    </row>
    <row r="10" spans="1:2" x14ac:dyDescent="0.3">
      <c r="A10" s="1">
        <v>2033</v>
      </c>
      <c r="B10">
        <v>9350</v>
      </c>
    </row>
    <row r="11" spans="1:2" x14ac:dyDescent="0.3">
      <c r="A11" s="1">
        <v>2034</v>
      </c>
      <c r="B11">
        <v>9400</v>
      </c>
    </row>
    <row r="12" spans="1:2" x14ac:dyDescent="0.3">
      <c r="A12" s="1">
        <v>2035</v>
      </c>
      <c r="B12">
        <v>9450</v>
      </c>
    </row>
    <row r="13" spans="1:2" x14ac:dyDescent="0.3">
      <c r="A13" s="1">
        <v>2036</v>
      </c>
      <c r="B13">
        <v>9500</v>
      </c>
    </row>
    <row r="14" spans="1:2" x14ac:dyDescent="0.3">
      <c r="A14" s="1">
        <v>2037</v>
      </c>
      <c r="B14">
        <v>9550</v>
      </c>
    </row>
    <row r="15" spans="1:2" x14ac:dyDescent="0.3">
      <c r="A15" s="1">
        <v>2038</v>
      </c>
      <c r="B15">
        <v>9600</v>
      </c>
    </row>
    <row r="16" spans="1:2" x14ac:dyDescent="0.3">
      <c r="A16" s="1">
        <v>2039</v>
      </c>
      <c r="B16">
        <v>9650</v>
      </c>
    </row>
    <row r="17" spans="1:2" x14ac:dyDescent="0.3">
      <c r="A17" s="1">
        <v>2040</v>
      </c>
      <c r="B17">
        <v>9700</v>
      </c>
    </row>
    <row r="18" spans="1:2" x14ac:dyDescent="0.3">
      <c r="A18" s="1">
        <v>2041</v>
      </c>
      <c r="B18">
        <v>9750</v>
      </c>
    </row>
    <row r="19" spans="1:2" x14ac:dyDescent="0.3">
      <c r="A19" s="1">
        <v>2042</v>
      </c>
      <c r="B19">
        <v>9800</v>
      </c>
    </row>
    <row r="20" spans="1:2" x14ac:dyDescent="0.3">
      <c r="A20" s="1">
        <v>2043</v>
      </c>
      <c r="B20">
        <v>9850</v>
      </c>
    </row>
    <row r="21" spans="1:2" x14ac:dyDescent="0.3">
      <c r="A21" s="1">
        <v>2044</v>
      </c>
      <c r="B21">
        <v>9900</v>
      </c>
    </row>
    <row r="22" spans="1:2" x14ac:dyDescent="0.3">
      <c r="A22" s="1">
        <v>2045</v>
      </c>
      <c r="B22">
        <v>9950</v>
      </c>
    </row>
    <row r="23" spans="1:2" x14ac:dyDescent="0.3">
      <c r="A23" s="1">
        <v>2046</v>
      </c>
      <c r="B23">
        <v>10000</v>
      </c>
    </row>
    <row r="24" spans="1:2" x14ac:dyDescent="0.3">
      <c r="A24" s="1">
        <v>2047</v>
      </c>
      <c r="B24">
        <v>10050</v>
      </c>
    </row>
    <row r="25" spans="1:2" x14ac:dyDescent="0.3">
      <c r="A25" s="1">
        <v>2048</v>
      </c>
      <c r="B25">
        <v>10100</v>
      </c>
    </row>
    <row r="26" spans="1:2" x14ac:dyDescent="0.3">
      <c r="A26" s="1">
        <v>2049</v>
      </c>
      <c r="B26">
        <v>10150</v>
      </c>
    </row>
    <row r="27" spans="1:2" x14ac:dyDescent="0.3">
      <c r="A27" s="1">
        <v>2050</v>
      </c>
      <c r="B27">
        <v>10200</v>
      </c>
    </row>
    <row r="28" spans="1:2" x14ac:dyDescent="0.3">
      <c r="A28" s="1">
        <v>2051</v>
      </c>
      <c r="B28">
        <v>10250</v>
      </c>
    </row>
    <row r="29" spans="1:2" x14ac:dyDescent="0.3">
      <c r="A29" s="1">
        <v>2052</v>
      </c>
      <c r="B29">
        <v>10300</v>
      </c>
    </row>
    <row r="30" spans="1:2" x14ac:dyDescent="0.3">
      <c r="A30" s="1">
        <v>2053</v>
      </c>
      <c r="B30">
        <v>10350</v>
      </c>
    </row>
    <row r="31" spans="1:2" x14ac:dyDescent="0.3">
      <c r="A31" s="1">
        <v>2054</v>
      </c>
      <c r="B31">
        <v>10400</v>
      </c>
    </row>
    <row r="32" spans="1:2" x14ac:dyDescent="0.3">
      <c r="A32" s="1">
        <v>2055</v>
      </c>
      <c r="B32">
        <v>10450</v>
      </c>
    </row>
    <row r="33" spans="1:2" x14ac:dyDescent="0.3">
      <c r="A33" s="1">
        <v>2056</v>
      </c>
      <c r="B33">
        <v>10500</v>
      </c>
    </row>
    <row r="34" spans="1:2" x14ac:dyDescent="0.3">
      <c r="A34" s="1">
        <v>2057</v>
      </c>
      <c r="B34">
        <v>10550</v>
      </c>
    </row>
    <row r="35" spans="1:2" x14ac:dyDescent="0.3">
      <c r="A35" s="1">
        <v>2058</v>
      </c>
      <c r="B35">
        <v>10600</v>
      </c>
    </row>
    <row r="36" spans="1:2" x14ac:dyDescent="0.3">
      <c r="A36" s="1">
        <v>2059</v>
      </c>
      <c r="B36">
        <v>10650</v>
      </c>
    </row>
    <row r="37" spans="1:2" x14ac:dyDescent="0.3">
      <c r="A37" s="1">
        <v>2060</v>
      </c>
      <c r="B37">
        <v>10700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4E59D-F281-4DC3-A1B9-C2CFED949C6E}">
  <dimension ref="A1:B37"/>
  <sheetViews>
    <sheetView zoomScale="70" zoomScaleNormal="70" workbookViewId="0">
      <selection activeCell="D9" sqref="D9"/>
    </sheetView>
  </sheetViews>
  <sheetFormatPr baseColWidth="10" defaultRowHeight="14.4" x14ac:dyDescent="0.3"/>
  <sheetData>
    <row r="1" spans="1:2" x14ac:dyDescent="0.3">
      <c r="A1" s="2" t="s">
        <v>0</v>
      </c>
      <c r="B1" s="2" t="s">
        <v>90</v>
      </c>
    </row>
    <row r="2" spans="1:2" x14ac:dyDescent="0.3">
      <c r="A2" s="1">
        <v>2025</v>
      </c>
      <c r="B2">
        <v>1.45</v>
      </c>
    </row>
    <row r="3" spans="1:2" x14ac:dyDescent="0.3">
      <c r="A3" s="1">
        <v>2026</v>
      </c>
      <c r="B3">
        <v>1.45</v>
      </c>
    </row>
    <row r="4" spans="1:2" x14ac:dyDescent="0.3">
      <c r="A4" s="1">
        <v>2027</v>
      </c>
      <c r="B4">
        <v>1.45</v>
      </c>
    </row>
    <row r="5" spans="1:2" x14ac:dyDescent="0.3">
      <c r="A5" s="1">
        <v>2028</v>
      </c>
      <c r="B5">
        <v>1.45</v>
      </c>
    </row>
    <row r="6" spans="1:2" x14ac:dyDescent="0.3">
      <c r="A6" s="1">
        <v>2029</v>
      </c>
      <c r="B6">
        <v>1.45</v>
      </c>
    </row>
    <row r="7" spans="1:2" x14ac:dyDescent="0.3">
      <c r="A7" s="1">
        <v>2030</v>
      </c>
      <c r="B7">
        <v>1.45</v>
      </c>
    </row>
    <row r="8" spans="1:2" x14ac:dyDescent="0.3">
      <c r="A8" s="1">
        <v>2031</v>
      </c>
      <c r="B8">
        <v>1.45</v>
      </c>
    </row>
    <row r="9" spans="1:2" x14ac:dyDescent="0.3">
      <c r="A9" s="1">
        <v>2032</v>
      </c>
      <c r="B9">
        <v>1.45</v>
      </c>
    </row>
    <row r="10" spans="1:2" x14ac:dyDescent="0.3">
      <c r="A10" s="1">
        <v>2033</v>
      </c>
      <c r="B10">
        <v>1.45</v>
      </c>
    </row>
    <row r="11" spans="1:2" x14ac:dyDescent="0.3">
      <c r="A11" s="1">
        <v>2034</v>
      </c>
      <c r="B11">
        <v>1.45</v>
      </c>
    </row>
    <row r="12" spans="1:2" x14ac:dyDescent="0.3">
      <c r="A12" s="1">
        <v>2035</v>
      </c>
      <c r="B12">
        <v>1.45</v>
      </c>
    </row>
    <row r="13" spans="1:2" x14ac:dyDescent="0.3">
      <c r="A13" s="1">
        <v>2036</v>
      </c>
      <c r="B13">
        <v>1.45</v>
      </c>
    </row>
    <row r="14" spans="1:2" x14ac:dyDescent="0.3">
      <c r="A14" s="1">
        <v>2037</v>
      </c>
      <c r="B14">
        <v>1.45</v>
      </c>
    </row>
    <row r="15" spans="1:2" x14ac:dyDescent="0.3">
      <c r="A15" s="1">
        <v>2038</v>
      </c>
      <c r="B15">
        <v>1.45</v>
      </c>
    </row>
    <row r="16" spans="1:2" x14ac:dyDescent="0.3">
      <c r="A16" s="1">
        <v>2039</v>
      </c>
      <c r="B16">
        <v>1.45</v>
      </c>
    </row>
    <row r="17" spans="1:2" x14ac:dyDescent="0.3">
      <c r="A17" s="1">
        <v>2040</v>
      </c>
      <c r="B17">
        <v>1.45</v>
      </c>
    </row>
    <row r="18" spans="1:2" x14ac:dyDescent="0.3">
      <c r="A18" s="1">
        <v>2041</v>
      </c>
      <c r="B18">
        <v>1.45</v>
      </c>
    </row>
    <row r="19" spans="1:2" x14ac:dyDescent="0.3">
      <c r="A19" s="1">
        <v>2042</v>
      </c>
      <c r="B19">
        <v>1.45</v>
      </c>
    </row>
    <row r="20" spans="1:2" x14ac:dyDescent="0.3">
      <c r="A20" s="1">
        <v>2043</v>
      </c>
      <c r="B20">
        <v>1.45</v>
      </c>
    </row>
    <row r="21" spans="1:2" x14ac:dyDescent="0.3">
      <c r="A21" s="1">
        <v>2044</v>
      </c>
      <c r="B21">
        <v>1.45</v>
      </c>
    </row>
    <row r="22" spans="1:2" x14ac:dyDescent="0.3">
      <c r="A22" s="1">
        <v>2045</v>
      </c>
      <c r="B22">
        <v>1.45</v>
      </c>
    </row>
    <row r="23" spans="1:2" x14ac:dyDescent="0.3">
      <c r="A23" s="1">
        <v>2046</v>
      </c>
      <c r="B23">
        <v>1.45</v>
      </c>
    </row>
    <row r="24" spans="1:2" x14ac:dyDescent="0.3">
      <c r="A24" s="1">
        <v>2047</v>
      </c>
      <c r="B24">
        <v>1.45</v>
      </c>
    </row>
    <row r="25" spans="1:2" x14ac:dyDescent="0.3">
      <c r="A25" s="1">
        <v>2048</v>
      </c>
      <c r="B25">
        <v>1.45</v>
      </c>
    </row>
    <row r="26" spans="1:2" x14ac:dyDescent="0.3">
      <c r="A26" s="1">
        <v>2049</v>
      </c>
      <c r="B26">
        <v>1.45</v>
      </c>
    </row>
    <row r="27" spans="1:2" x14ac:dyDescent="0.3">
      <c r="A27" s="1">
        <v>2050</v>
      </c>
      <c r="B27">
        <v>1.45</v>
      </c>
    </row>
    <row r="28" spans="1:2" x14ac:dyDescent="0.3">
      <c r="A28" s="1">
        <v>2051</v>
      </c>
      <c r="B28">
        <v>1.45</v>
      </c>
    </row>
    <row r="29" spans="1:2" x14ac:dyDescent="0.3">
      <c r="A29" s="1">
        <v>2052</v>
      </c>
      <c r="B29">
        <v>1.45</v>
      </c>
    </row>
    <row r="30" spans="1:2" x14ac:dyDescent="0.3">
      <c r="A30" s="1">
        <v>2053</v>
      </c>
      <c r="B30">
        <v>1.45</v>
      </c>
    </row>
    <row r="31" spans="1:2" x14ac:dyDescent="0.3">
      <c r="A31" s="1">
        <v>2054</v>
      </c>
      <c r="B31">
        <v>1.45</v>
      </c>
    </row>
    <row r="32" spans="1:2" x14ac:dyDescent="0.3">
      <c r="A32" s="1">
        <v>2055</v>
      </c>
      <c r="B32">
        <v>1.45</v>
      </c>
    </row>
    <row r="33" spans="1:2" x14ac:dyDescent="0.3">
      <c r="A33" s="1">
        <v>2056</v>
      </c>
      <c r="B33">
        <v>1.45</v>
      </c>
    </row>
    <row r="34" spans="1:2" x14ac:dyDescent="0.3">
      <c r="A34" s="1">
        <v>2057</v>
      </c>
      <c r="B34">
        <v>1.45</v>
      </c>
    </row>
    <row r="35" spans="1:2" x14ac:dyDescent="0.3">
      <c r="A35" s="1">
        <v>2058</v>
      </c>
      <c r="B35">
        <v>1.45</v>
      </c>
    </row>
    <row r="36" spans="1:2" x14ac:dyDescent="0.3">
      <c r="A36" s="1">
        <v>2059</v>
      </c>
      <c r="B36">
        <v>1.45</v>
      </c>
    </row>
    <row r="37" spans="1:2" x14ac:dyDescent="0.3">
      <c r="A37" s="1">
        <v>2060</v>
      </c>
      <c r="B37">
        <v>1.45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2"/>
  <sheetViews>
    <sheetView zoomScale="65" zoomScaleNormal="65" workbookViewId="0">
      <selection activeCell="D11" sqref="D11"/>
    </sheetView>
  </sheetViews>
  <sheetFormatPr baseColWidth="10"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">
        <v>1990</v>
      </c>
      <c r="B2">
        <v>14000</v>
      </c>
    </row>
    <row r="3" spans="1:2" x14ac:dyDescent="0.3">
      <c r="A3" s="1">
        <v>1991</v>
      </c>
      <c r="B3">
        <v>14000</v>
      </c>
    </row>
    <row r="4" spans="1:2" x14ac:dyDescent="0.3">
      <c r="A4" s="1">
        <v>1992</v>
      </c>
      <c r="B4">
        <v>14000</v>
      </c>
    </row>
    <row r="5" spans="1:2" x14ac:dyDescent="0.3">
      <c r="A5" s="1">
        <v>1993</v>
      </c>
      <c r="B5">
        <v>14000</v>
      </c>
    </row>
    <row r="6" spans="1:2" x14ac:dyDescent="0.3">
      <c r="A6" s="1">
        <v>1994</v>
      </c>
      <c r="B6">
        <v>14000</v>
      </c>
    </row>
    <row r="7" spans="1:2" x14ac:dyDescent="0.3">
      <c r="A7" s="1">
        <v>1995</v>
      </c>
      <c r="B7">
        <v>14000</v>
      </c>
    </row>
    <row r="8" spans="1:2" x14ac:dyDescent="0.3">
      <c r="A8" s="1">
        <v>1996</v>
      </c>
      <c r="B8">
        <v>14000</v>
      </c>
    </row>
    <row r="9" spans="1:2" x14ac:dyDescent="0.3">
      <c r="A9" s="1">
        <v>1997</v>
      </c>
      <c r="B9">
        <v>14000</v>
      </c>
    </row>
    <row r="10" spans="1:2" x14ac:dyDescent="0.3">
      <c r="A10" s="1">
        <v>1998</v>
      </c>
      <c r="B10">
        <v>14000</v>
      </c>
    </row>
    <row r="11" spans="1:2" x14ac:dyDescent="0.3">
      <c r="A11" s="1">
        <v>1999</v>
      </c>
      <c r="B11">
        <v>14000</v>
      </c>
    </row>
    <row r="12" spans="1:2" x14ac:dyDescent="0.3">
      <c r="A12" s="1">
        <v>2000</v>
      </c>
      <c r="B12">
        <v>14000</v>
      </c>
    </row>
    <row r="13" spans="1:2" x14ac:dyDescent="0.3">
      <c r="A13" s="1">
        <v>2001</v>
      </c>
      <c r="B13">
        <v>14000</v>
      </c>
    </row>
    <row r="14" spans="1:2" x14ac:dyDescent="0.3">
      <c r="A14" s="1">
        <v>2002</v>
      </c>
      <c r="B14">
        <v>14000</v>
      </c>
    </row>
    <row r="15" spans="1:2" x14ac:dyDescent="0.3">
      <c r="A15" s="1">
        <v>2003</v>
      </c>
      <c r="B15">
        <v>14000</v>
      </c>
    </row>
    <row r="16" spans="1:2" x14ac:dyDescent="0.3">
      <c r="A16" s="1">
        <v>2004</v>
      </c>
      <c r="B16">
        <v>14000</v>
      </c>
    </row>
    <row r="17" spans="1:2" x14ac:dyDescent="0.3">
      <c r="A17" s="1">
        <v>2005</v>
      </c>
      <c r="B17">
        <v>14000</v>
      </c>
    </row>
    <row r="18" spans="1:2" x14ac:dyDescent="0.3">
      <c r="A18" s="1">
        <v>2006</v>
      </c>
      <c r="B18">
        <v>14000</v>
      </c>
    </row>
    <row r="19" spans="1:2" x14ac:dyDescent="0.3">
      <c r="A19" s="1">
        <v>2007</v>
      </c>
      <c r="B19">
        <v>14000</v>
      </c>
    </row>
    <row r="20" spans="1:2" x14ac:dyDescent="0.3">
      <c r="A20" s="1">
        <v>2008</v>
      </c>
      <c r="B20">
        <v>14000</v>
      </c>
    </row>
    <row r="21" spans="1:2" x14ac:dyDescent="0.3">
      <c r="A21" s="1">
        <v>2009</v>
      </c>
      <c r="B21">
        <v>14000</v>
      </c>
    </row>
    <row r="22" spans="1:2" x14ac:dyDescent="0.3">
      <c r="A22" s="1">
        <v>2010</v>
      </c>
      <c r="B22">
        <v>14000</v>
      </c>
    </row>
    <row r="23" spans="1:2" x14ac:dyDescent="0.3">
      <c r="A23" s="1">
        <v>2011</v>
      </c>
      <c r="B23">
        <v>14000</v>
      </c>
    </row>
    <row r="24" spans="1:2" x14ac:dyDescent="0.3">
      <c r="A24" s="1">
        <v>2012</v>
      </c>
      <c r="B24">
        <v>14000</v>
      </c>
    </row>
    <row r="25" spans="1:2" x14ac:dyDescent="0.3">
      <c r="A25" s="1">
        <v>2013</v>
      </c>
      <c r="B25">
        <v>14000</v>
      </c>
    </row>
    <row r="26" spans="1:2" x14ac:dyDescent="0.3">
      <c r="A26" s="1">
        <v>2014</v>
      </c>
      <c r="B26">
        <v>14000</v>
      </c>
    </row>
    <row r="27" spans="1:2" x14ac:dyDescent="0.3">
      <c r="A27" s="1">
        <v>2015</v>
      </c>
      <c r="B27">
        <v>14000</v>
      </c>
    </row>
    <row r="28" spans="1:2" x14ac:dyDescent="0.3">
      <c r="A28" s="1">
        <v>2016</v>
      </c>
      <c r="B28">
        <v>14000</v>
      </c>
    </row>
    <row r="29" spans="1:2" x14ac:dyDescent="0.3">
      <c r="A29" s="1">
        <v>2017</v>
      </c>
      <c r="B29">
        <v>14000</v>
      </c>
    </row>
    <row r="30" spans="1:2" x14ac:dyDescent="0.3">
      <c r="A30" s="1">
        <v>2018</v>
      </c>
      <c r="B30">
        <v>14000</v>
      </c>
    </row>
    <row r="31" spans="1:2" x14ac:dyDescent="0.3">
      <c r="A31" s="1">
        <v>2019</v>
      </c>
      <c r="B31">
        <v>14000</v>
      </c>
    </row>
    <row r="32" spans="1:2" x14ac:dyDescent="0.3">
      <c r="A32" s="1">
        <v>2020</v>
      </c>
      <c r="B32">
        <v>14000</v>
      </c>
    </row>
    <row r="33" spans="1:2" x14ac:dyDescent="0.3">
      <c r="A33" s="1">
        <v>2021</v>
      </c>
      <c r="B33">
        <v>14000</v>
      </c>
    </row>
    <row r="34" spans="1:2" x14ac:dyDescent="0.3">
      <c r="A34" s="1">
        <v>2022</v>
      </c>
      <c r="B34">
        <v>14000</v>
      </c>
    </row>
    <row r="35" spans="1:2" x14ac:dyDescent="0.3">
      <c r="A35" s="1">
        <v>2023</v>
      </c>
      <c r="B35">
        <v>14000</v>
      </c>
    </row>
    <row r="36" spans="1:2" x14ac:dyDescent="0.3">
      <c r="A36" s="1">
        <v>2024</v>
      </c>
      <c r="B36">
        <v>14000</v>
      </c>
    </row>
    <row r="37" spans="1:2" x14ac:dyDescent="0.3">
      <c r="A37" s="1">
        <v>2025</v>
      </c>
      <c r="B37">
        <v>14000</v>
      </c>
    </row>
    <row r="38" spans="1:2" x14ac:dyDescent="0.3">
      <c r="A38" s="1">
        <v>2026</v>
      </c>
      <c r="B38">
        <v>14100</v>
      </c>
    </row>
    <row r="39" spans="1:2" x14ac:dyDescent="0.3">
      <c r="A39" s="1">
        <v>2027</v>
      </c>
      <c r="B39">
        <v>14200</v>
      </c>
    </row>
    <row r="40" spans="1:2" x14ac:dyDescent="0.3">
      <c r="A40" s="1">
        <v>2028</v>
      </c>
      <c r="B40">
        <v>14300</v>
      </c>
    </row>
    <row r="41" spans="1:2" x14ac:dyDescent="0.3">
      <c r="A41" s="1">
        <v>2029</v>
      </c>
      <c r="B41">
        <v>14400</v>
      </c>
    </row>
    <row r="42" spans="1:2" x14ac:dyDescent="0.3">
      <c r="A42" s="1">
        <v>2030</v>
      </c>
      <c r="B42">
        <v>14500</v>
      </c>
    </row>
    <row r="43" spans="1:2" x14ac:dyDescent="0.3">
      <c r="A43" s="1">
        <v>2031</v>
      </c>
      <c r="B43">
        <v>14600</v>
      </c>
    </row>
    <row r="44" spans="1:2" x14ac:dyDescent="0.3">
      <c r="A44" s="1">
        <v>2032</v>
      </c>
      <c r="B44">
        <v>14700</v>
      </c>
    </row>
    <row r="45" spans="1:2" x14ac:dyDescent="0.3">
      <c r="A45" s="1">
        <v>2033</v>
      </c>
      <c r="B45">
        <v>14800</v>
      </c>
    </row>
    <row r="46" spans="1:2" x14ac:dyDescent="0.3">
      <c r="A46" s="1">
        <v>2034</v>
      </c>
      <c r="B46">
        <v>14900</v>
      </c>
    </row>
    <row r="47" spans="1:2" x14ac:dyDescent="0.3">
      <c r="A47" s="1">
        <v>2035</v>
      </c>
      <c r="B47">
        <v>15000</v>
      </c>
    </row>
    <row r="48" spans="1:2" x14ac:dyDescent="0.3">
      <c r="A48" s="1">
        <v>2036</v>
      </c>
      <c r="B48">
        <v>15100</v>
      </c>
    </row>
    <row r="49" spans="1:2" x14ac:dyDescent="0.3">
      <c r="A49" s="1">
        <v>2037</v>
      </c>
      <c r="B49">
        <v>15200</v>
      </c>
    </row>
    <row r="50" spans="1:2" x14ac:dyDescent="0.3">
      <c r="A50" s="1">
        <v>2038</v>
      </c>
      <c r="B50">
        <v>15300</v>
      </c>
    </row>
    <row r="51" spans="1:2" x14ac:dyDescent="0.3">
      <c r="A51" s="1">
        <v>2039</v>
      </c>
      <c r="B51">
        <v>15400</v>
      </c>
    </row>
    <row r="52" spans="1:2" x14ac:dyDescent="0.3">
      <c r="A52" s="1">
        <v>2040</v>
      </c>
      <c r="B52">
        <v>15500</v>
      </c>
    </row>
    <row r="53" spans="1:2" x14ac:dyDescent="0.3">
      <c r="A53" s="1">
        <v>2041</v>
      </c>
      <c r="B53">
        <v>15600</v>
      </c>
    </row>
    <row r="54" spans="1:2" x14ac:dyDescent="0.3">
      <c r="A54" s="1">
        <v>2042</v>
      </c>
      <c r="B54">
        <v>15700</v>
      </c>
    </row>
    <row r="55" spans="1:2" x14ac:dyDescent="0.3">
      <c r="A55" s="1">
        <v>2043</v>
      </c>
      <c r="B55">
        <v>15800</v>
      </c>
    </row>
    <row r="56" spans="1:2" x14ac:dyDescent="0.3">
      <c r="A56" s="1">
        <v>2044</v>
      </c>
      <c r="B56">
        <v>15900</v>
      </c>
    </row>
    <row r="57" spans="1:2" x14ac:dyDescent="0.3">
      <c r="A57" s="1">
        <v>2045</v>
      </c>
      <c r="B57">
        <v>16000</v>
      </c>
    </row>
    <row r="58" spans="1:2" x14ac:dyDescent="0.3">
      <c r="A58" s="1">
        <v>2046</v>
      </c>
      <c r="B58">
        <v>16100</v>
      </c>
    </row>
    <row r="59" spans="1:2" x14ac:dyDescent="0.3">
      <c r="A59" s="1">
        <v>2047</v>
      </c>
      <c r="B59">
        <v>16200</v>
      </c>
    </row>
    <row r="60" spans="1:2" x14ac:dyDescent="0.3">
      <c r="A60" s="1">
        <v>2048</v>
      </c>
      <c r="B60">
        <v>16300</v>
      </c>
    </row>
    <row r="61" spans="1:2" x14ac:dyDescent="0.3">
      <c r="A61" s="1">
        <v>2049</v>
      </c>
      <c r="B61">
        <v>16400</v>
      </c>
    </row>
    <row r="62" spans="1:2" x14ac:dyDescent="0.3">
      <c r="A62" s="1">
        <v>2050</v>
      </c>
      <c r="B62">
        <v>16500</v>
      </c>
    </row>
    <row r="63" spans="1:2" x14ac:dyDescent="0.3">
      <c r="A63" s="1">
        <v>2051</v>
      </c>
      <c r="B63">
        <v>16600</v>
      </c>
    </row>
    <row r="64" spans="1:2" x14ac:dyDescent="0.3">
      <c r="A64" s="1">
        <v>2052</v>
      </c>
      <c r="B64">
        <v>16700</v>
      </c>
    </row>
    <row r="65" spans="1:2" x14ac:dyDescent="0.3">
      <c r="A65" s="1">
        <v>2053</v>
      </c>
      <c r="B65">
        <v>16800</v>
      </c>
    </row>
    <row r="66" spans="1:2" x14ac:dyDescent="0.3">
      <c r="A66" s="1">
        <v>2054</v>
      </c>
      <c r="B66">
        <v>16900</v>
      </c>
    </row>
    <row r="67" spans="1:2" x14ac:dyDescent="0.3">
      <c r="A67" s="1">
        <v>2055</v>
      </c>
      <c r="B67">
        <v>17000</v>
      </c>
    </row>
    <row r="68" spans="1:2" x14ac:dyDescent="0.3">
      <c r="A68" s="1">
        <v>2056</v>
      </c>
      <c r="B68">
        <v>17100</v>
      </c>
    </row>
    <row r="69" spans="1:2" x14ac:dyDescent="0.3">
      <c r="A69" s="1">
        <v>2057</v>
      </c>
      <c r="B69">
        <v>17200</v>
      </c>
    </row>
    <row r="70" spans="1:2" x14ac:dyDescent="0.3">
      <c r="A70" s="1">
        <v>2058</v>
      </c>
      <c r="B70">
        <v>17300</v>
      </c>
    </row>
    <row r="71" spans="1:2" x14ac:dyDescent="0.3">
      <c r="A71" s="1">
        <v>2059</v>
      </c>
      <c r="B71">
        <v>17400</v>
      </c>
    </row>
    <row r="72" spans="1:2" x14ac:dyDescent="0.3">
      <c r="A72" s="1">
        <v>2060</v>
      </c>
      <c r="B72">
        <v>17500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workbookViewId="0">
      <selection activeCell="C6" sqref="C6"/>
    </sheetView>
  </sheetViews>
  <sheetFormatPr baseColWidth="10" defaultRowHeight="14.4" x14ac:dyDescent="0.3"/>
  <cols>
    <col min="1" max="1" width="21.44140625" customWidth="1"/>
    <col min="2" max="2" width="35.44140625" bestFit="1" customWidth="1"/>
    <col min="3" max="3" width="24.44140625" bestFit="1" customWidth="1"/>
  </cols>
  <sheetData>
    <row r="1" spans="1:3" x14ac:dyDescent="0.3">
      <c r="A1" s="1" t="s">
        <v>40</v>
      </c>
      <c r="B1" s="1" t="s">
        <v>38</v>
      </c>
      <c r="C1" s="1" t="s">
        <v>39</v>
      </c>
    </row>
    <row r="2" spans="1:3" x14ac:dyDescent="0.3">
      <c r="A2" s="1" t="s">
        <v>31</v>
      </c>
      <c r="B2">
        <v>882.09027753999521</v>
      </c>
      <c r="C2">
        <v>882.09027753999521</v>
      </c>
    </row>
    <row r="3" spans="1:3" x14ac:dyDescent="0.3">
      <c r="A3" s="1" t="s">
        <v>32</v>
      </c>
      <c r="B3">
        <v>115.87424457466307</v>
      </c>
      <c r="C3">
        <v>115.87424457466307</v>
      </c>
    </row>
    <row r="4" spans="1:3" x14ac:dyDescent="0.3">
      <c r="A4" s="1" t="s">
        <v>33</v>
      </c>
      <c r="B4">
        <v>21.57109913086358</v>
      </c>
      <c r="C4">
        <v>21.57109913086358</v>
      </c>
    </row>
    <row r="5" spans="1:3" x14ac:dyDescent="0.3">
      <c r="A5" s="1" t="s">
        <v>34</v>
      </c>
      <c r="B5">
        <v>49.678894968049455</v>
      </c>
      <c r="C5">
        <v>49.678894968049455</v>
      </c>
    </row>
    <row r="6" spans="1:3" x14ac:dyDescent="0.3">
      <c r="A6" s="1" t="s">
        <v>35</v>
      </c>
      <c r="B6">
        <v>23.872366030822263</v>
      </c>
      <c r="C6">
        <v>67.532630964243552</v>
      </c>
    </row>
    <row r="7" spans="1:3" x14ac:dyDescent="0.3">
      <c r="A7" s="1" t="s">
        <v>37</v>
      </c>
      <c r="B7">
        <v>9.9790321400000007E-2</v>
      </c>
      <c r="C7">
        <v>9.9790321400000007E-2</v>
      </c>
    </row>
    <row r="8" spans="1:3" x14ac:dyDescent="0.3">
      <c r="A8" s="1" t="s">
        <v>36</v>
      </c>
      <c r="B8">
        <v>211.86438348270138</v>
      </c>
      <c r="C8">
        <v>211.86438348270138</v>
      </c>
    </row>
    <row r="9" spans="1:3" x14ac:dyDescent="0.3">
      <c r="A9" s="1" t="s">
        <v>55</v>
      </c>
      <c r="B9">
        <v>15</v>
      </c>
      <c r="C9">
        <v>0</v>
      </c>
    </row>
    <row r="10" spans="1:3" x14ac:dyDescent="0.3">
      <c r="A10" s="1" t="s">
        <v>58</v>
      </c>
      <c r="B10">
        <v>0</v>
      </c>
      <c r="C10">
        <v>8</v>
      </c>
    </row>
    <row r="11" spans="1:3" x14ac:dyDescent="0.3">
      <c r="A11" s="1" t="s">
        <v>59</v>
      </c>
      <c r="B11">
        <v>0</v>
      </c>
      <c r="C11">
        <v>14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>
      <selection activeCell="C4" sqref="C4"/>
    </sheetView>
  </sheetViews>
  <sheetFormatPr baseColWidth="10" defaultRowHeight="14.4" x14ac:dyDescent="0.3"/>
  <cols>
    <col min="1" max="1" width="19.88671875" customWidth="1"/>
  </cols>
  <sheetData>
    <row r="1" spans="1:3" x14ac:dyDescent="0.3">
      <c r="A1" s="1" t="s">
        <v>41</v>
      </c>
      <c r="B1" s="1" t="s">
        <v>42</v>
      </c>
      <c r="C1" s="1" t="s">
        <v>43</v>
      </c>
    </row>
    <row r="2" spans="1:3" x14ac:dyDescent="0.3">
      <c r="A2" s="1" t="s">
        <v>31</v>
      </c>
      <c r="B2">
        <v>85</v>
      </c>
      <c r="C2" s="3">
        <v>95</v>
      </c>
    </row>
    <row r="3" spans="1:3" x14ac:dyDescent="0.3">
      <c r="A3" s="1" t="s">
        <v>32</v>
      </c>
      <c r="B3">
        <v>84</v>
      </c>
      <c r="C3" s="3">
        <v>96</v>
      </c>
    </row>
    <row r="4" spans="1:3" x14ac:dyDescent="0.3">
      <c r="A4" s="1" t="s">
        <v>33</v>
      </c>
      <c r="B4">
        <v>87.5</v>
      </c>
      <c r="C4" s="3">
        <v>90</v>
      </c>
    </row>
    <row r="5" spans="1:3" x14ac:dyDescent="0.3">
      <c r="A5" s="1" t="s">
        <v>34</v>
      </c>
      <c r="B5">
        <v>87.5</v>
      </c>
      <c r="C5" s="3">
        <v>90</v>
      </c>
    </row>
    <row r="6" spans="1:3" x14ac:dyDescent="0.3">
      <c r="A6" s="1" t="s">
        <v>35</v>
      </c>
      <c r="B6">
        <v>67</v>
      </c>
      <c r="C6" s="3">
        <v>90</v>
      </c>
    </row>
    <row r="7" spans="1:3" x14ac:dyDescent="0.3">
      <c r="A7" s="1" t="s">
        <v>37</v>
      </c>
      <c r="B7">
        <v>80</v>
      </c>
      <c r="C7" s="3">
        <v>90</v>
      </c>
    </row>
    <row r="8" spans="1:3" x14ac:dyDescent="0.3">
      <c r="A8" s="1" t="s">
        <v>36</v>
      </c>
      <c r="B8">
        <v>18</v>
      </c>
      <c r="C8" s="3">
        <v>70</v>
      </c>
    </row>
    <row r="9" spans="1:3" x14ac:dyDescent="0.3">
      <c r="A9" s="1" t="s">
        <v>55</v>
      </c>
      <c r="B9">
        <v>99</v>
      </c>
      <c r="C9" s="3">
        <v>99</v>
      </c>
    </row>
    <row r="10" spans="1:3" x14ac:dyDescent="0.3">
      <c r="A10" s="1" t="s">
        <v>58</v>
      </c>
      <c r="B10">
        <v>0</v>
      </c>
      <c r="C10" s="3">
        <v>85</v>
      </c>
    </row>
    <row r="11" spans="1:3" x14ac:dyDescent="0.3">
      <c r="A11" s="1" t="s">
        <v>59</v>
      </c>
      <c r="B11">
        <v>80</v>
      </c>
      <c r="C11" s="3">
        <v>95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workbookViewId="0">
      <selection activeCell="E1" sqref="E1"/>
    </sheetView>
  </sheetViews>
  <sheetFormatPr baseColWidth="10" defaultRowHeight="14.4" x14ac:dyDescent="0.3"/>
  <cols>
    <col min="1" max="1" width="17.88671875" bestFit="1" customWidth="1"/>
    <col min="2" max="2" width="17.5546875" customWidth="1"/>
    <col min="3" max="3" width="16.44140625" customWidth="1"/>
    <col min="4" max="4" width="14.5546875" customWidth="1"/>
    <col min="5" max="5" width="16.77734375" customWidth="1"/>
  </cols>
  <sheetData>
    <row r="1" spans="1:5" ht="15.6" x14ac:dyDescent="0.35">
      <c r="B1" s="1" t="s">
        <v>97</v>
      </c>
      <c r="C1" s="1" t="s">
        <v>47</v>
      </c>
      <c r="D1" s="1" t="s">
        <v>48</v>
      </c>
      <c r="E1" s="1" t="s">
        <v>49</v>
      </c>
    </row>
    <row r="2" spans="1:5" x14ac:dyDescent="0.3">
      <c r="A2" s="1" t="s">
        <v>31</v>
      </c>
      <c r="B2">
        <v>2.0950000000000002</v>
      </c>
      <c r="C2">
        <v>5.27</v>
      </c>
      <c r="D2">
        <v>0.98</v>
      </c>
      <c r="E2">
        <v>3.35</v>
      </c>
    </row>
    <row r="3" spans="1:5" x14ac:dyDescent="0.3">
      <c r="A3" s="1" t="s">
        <v>32</v>
      </c>
      <c r="B3">
        <v>2.0950000000000002</v>
      </c>
      <c r="C3">
        <v>5.27</v>
      </c>
      <c r="D3">
        <v>0.98</v>
      </c>
      <c r="E3">
        <v>3.35</v>
      </c>
    </row>
    <row r="4" spans="1:5" x14ac:dyDescent="0.3">
      <c r="A4" s="1" t="s">
        <v>33</v>
      </c>
      <c r="B4">
        <v>20.8</v>
      </c>
      <c r="C4">
        <v>35.6</v>
      </c>
      <c r="D4">
        <v>10.3</v>
      </c>
      <c r="E4">
        <v>14.2</v>
      </c>
    </row>
    <row r="5" spans="1:5" x14ac:dyDescent="0.3">
      <c r="A5" s="1" t="s">
        <v>34</v>
      </c>
      <c r="B5">
        <v>20.8</v>
      </c>
      <c r="C5">
        <v>35.6</v>
      </c>
      <c r="D5">
        <v>10.3</v>
      </c>
      <c r="E5">
        <v>14.2</v>
      </c>
    </row>
    <row r="6" spans="1:5" x14ac:dyDescent="0.3">
      <c r="A6" s="1" t="s">
        <v>35</v>
      </c>
      <c r="B6">
        <v>6.65</v>
      </c>
      <c r="C6">
        <v>172</v>
      </c>
      <c r="D6">
        <v>3.03</v>
      </c>
      <c r="E6">
        <v>166</v>
      </c>
    </row>
    <row r="7" spans="1:5" x14ac:dyDescent="0.3">
      <c r="A7" s="1" t="s">
        <v>37</v>
      </c>
      <c r="B7">
        <v>2.7</v>
      </c>
      <c r="C7">
        <v>22.6</v>
      </c>
      <c r="D7">
        <v>1.36</v>
      </c>
      <c r="E7">
        <v>20.3</v>
      </c>
    </row>
    <row r="8" spans="1:5" x14ac:dyDescent="0.3">
      <c r="A8" s="1" t="s">
        <v>36</v>
      </c>
      <c r="B8">
        <v>2.323</v>
      </c>
      <c r="C8">
        <v>2.964</v>
      </c>
      <c r="D8">
        <v>1.8240000000000001</v>
      </c>
      <c r="E8">
        <v>0.23699999999999999</v>
      </c>
    </row>
    <row r="9" spans="1:5" x14ac:dyDescent="0.3">
      <c r="A9" s="1" t="s">
        <v>55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 t="s">
        <v>58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 t="s">
        <v>59</v>
      </c>
      <c r="B11">
        <v>0</v>
      </c>
      <c r="C11">
        <v>0</v>
      </c>
      <c r="D11">
        <v>0</v>
      </c>
      <c r="E1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workbookViewId="0">
      <selection activeCell="C1" sqref="C1"/>
    </sheetView>
  </sheetViews>
  <sheetFormatPr baseColWidth="10" defaultRowHeight="14.4" x14ac:dyDescent="0.3"/>
  <cols>
    <col min="1" max="1" width="17.88671875" bestFit="1" customWidth="1"/>
    <col min="2" max="2" width="17.5546875" customWidth="1"/>
    <col min="3" max="3" width="16.44140625" customWidth="1"/>
    <col min="4" max="4" width="14.5546875" customWidth="1"/>
    <col min="5" max="5" width="16.77734375" customWidth="1"/>
  </cols>
  <sheetData>
    <row r="1" spans="1:5" ht="15.6" x14ac:dyDescent="0.35">
      <c r="B1" s="1" t="s">
        <v>97</v>
      </c>
      <c r="C1" s="1" t="s">
        <v>47</v>
      </c>
      <c r="D1" s="1" t="s">
        <v>48</v>
      </c>
      <c r="E1" s="1" t="s">
        <v>49</v>
      </c>
    </row>
    <row r="2" spans="1:5" x14ac:dyDescent="0.3">
      <c r="A2" s="1" t="s">
        <v>31</v>
      </c>
      <c r="B2">
        <v>0.55000000000000004</v>
      </c>
      <c r="C2">
        <v>0.85</v>
      </c>
      <c r="D2">
        <v>0.247</v>
      </c>
      <c r="E2">
        <v>0.192</v>
      </c>
    </row>
    <row r="3" spans="1:5" x14ac:dyDescent="0.3">
      <c r="A3" s="1" t="s">
        <v>32</v>
      </c>
      <c r="B3">
        <v>0.55000000000000004</v>
      </c>
      <c r="C3">
        <v>0.85</v>
      </c>
      <c r="D3">
        <v>0.247</v>
      </c>
      <c r="E3">
        <v>0.192</v>
      </c>
    </row>
    <row r="4" spans="1:5" x14ac:dyDescent="0.3">
      <c r="A4" s="1" t="s">
        <v>33</v>
      </c>
      <c r="B4">
        <v>0.81</v>
      </c>
      <c r="C4">
        <v>3.06</v>
      </c>
      <c r="D4">
        <v>0.28999999999999998</v>
      </c>
      <c r="E4">
        <v>2.46</v>
      </c>
    </row>
    <row r="5" spans="1:5" x14ac:dyDescent="0.3">
      <c r="A5" s="1" t="s">
        <v>34</v>
      </c>
      <c r="B5">
        <v>0.81</v>
      </c>
      <c r="C5">
        <v>3.06</v>
      </c>
      <c r="D5">
        <v>0.28999999999999998</v>
      </c>
      <c r="E5">
        <v>2.46</v>
      </c>
    </row>
    <row r="6" spans="1:5" x14ac:dyDescent="0.3">
      <c r="A6" s="1" t="s">
        <v>35</v>
      </c>
      <c r="B6">
        <v>2.5</v>
      </c>
      <c r="C6">
        <v>32.299999999999997</v>
      </c>
      <c r="D6">
        <v>1.1200000000000001</v>
      </c>
      <c r="E6">
        <v>30.1</v>
      </c>
    </row>
    <row r="7" spans="1:5" x14ac:dyDescent="0.3">
      <c r="A7" s="1" t="s">
        <v>37</v>
      </c>
      <c r="B7">
        <v>0</v>
      </c>
      <c r="C7">
        <v>0</v>
      </c>
      <c r="D7">
        <v>0</v>
      </c>
      <c r="E7">
        <v>0</v>
      </c>
    </row>
    <row r="8" spans="1:5" x14ac:dyDescent="0.3">
      <c r="A8" s="1" t="s">
        <v>36</v>
      </c>
      <c r="B8">
        <v>0.90600000000000003</v>
      </c>
      <c r="C8">
        <v>0.90800000000000003</v>
      </c>
      <c r="D8">
        <v>0.375</v>
      </c>
      <c r="E8">
        <v>0.122</v>
      </c>
    </row>
    <row r="9" spans="1:5" x14ac:dyDescent="0.3">
      <c r="A9" s="1" t="s">
        <v>55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 t="s">
        <v>58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 t="s">
        <v>59</v>
      </c>
      <c r="B11">
        <v>0</v>
      </c>
      <c r="C11">
        <v>0</v>
      </c>
      <c r="D11">
        <v>0</v>
      </c>
      <c r="E11">
        <v>0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2"/>
  <sheetViews>
    <sheetView zoomScaleNormal="100" workbookViewId="0">
      <selection activeCell="F7" sqref="F7"/>
    </sheetView>
  </sheetViews>
  <sheetFormatPr baseColWidth="10" defaultRowHeight="14.4" x14ac:dyDescent="0.3"/>
  <cols>
    <col min="1" max="1" width="10.6640625" style="1"/>
  </cols>
  <sheetData>
    <row r="1" spans="1:3" x14ac:dyDescent="0.3">
      <c r="A1" s="1" t="s">
        <v>60</v>
      </c>
      <c r="B1" s="1" t="s">
        <v>2</v>
      </c>
      <c r="C1" s="1" t="s">
        <v>3</v>
      </c>
    </row>
    <row r="2" spans="1:3" x14ac:dyDescent="0.3">
      <c r="A2" s="1">
        <v>1990</v>
      </c>
      <c r="B2">
        <v>3</v>
      </c>
      <c r="C2">
        <v>0.7</v>
      </c>
    </row>
    <row r="3" spans="1:3" x14ac:dyDescent="0.3">
      <c r="A3" s="1">
        <v>1991</v>
      </c>
      <c r="B3">
        <v>3</v>
      </c>
      <c r="C3">
        <v>0.7</v>
      </c>
    </row>
    <row r="4" spans="1:3" x14ac:dyDescent="0.3">
      <c r="A4" s="1">
        <v>1992</v>
      </c>
      <c r="B4">
        <v>3</v>
      </c>
      <c r="C4">
        <v>0.7</v>
      </c>
    </row>
    <row r="5" spans="1:3" x14ac:dyDescent="0.3">
      <c r="A5" s="1">
        <v>1993</v>
      </c>
      <c r="B5">
        <v>3</v>
      </c>
      <c r="C5">
        <v>0.7</v>
      </c>
    </row>
    <row r="6" spans="1:3" x14ac:dyDescent="0.3">
      <c r="A6" s="1">
        <v>1994</v>
      </c>
      <c r="B6">
        <v>3</v>
      </c>
      <c r="C6">
        <v>0.7</v>
      </c>
    </row>
    <row r="7" spans="1:3" x14ac:dyDescent="0.3">
      <c r="A7" s="1">
        <v>1995</v>
      </c>
      <c r="B7">
        <v>3</v>
      </c>
      <c r="C7">
        <v>0.7</v>
      </c>
    </row>
    <row r="8" spans="1:3" x14ac:dyDescent="0.3">
      <c r="A8" s="1">
        <v>1996</v>
      </c>
      <c r="B8">
        <v>3</v>
      </c>
      <c r="C8">
        <v>0.7</v>
      </c>
    </row>
    <row r="9" spans="1:3" x14ac:dyDescent="0.3">
      <c r="A9" s="1">
        <v>1997</v>
      </c>
      <c r="B9">
        <v>3</v>
      </c>
      <c r="C9">
        <v>0.7</v>
      </c>
    </row>
    <row r="10" spans="1:3" x14ac:dyDescent="0.3">
      <c r="A10" s="1">
        <v>1998</v>
      </c>
      <c r="B10">
        <v>3</v>
      </c>
      <c r="C10">
        <v>0.7</v>
      </c>
    </row>
    <row r="11" spans="1:3" x14ac:dyDescent="0.3">
      <c r="A11" s="1">
        <v>1999</v>
      </c>
      <c r="B11">
        <v>3</v>
      </c>
      <c r="C11">
        <v>0.7</v>
      </c>
    </row>
    <row r="12" spans="1:3" x14ac:dyDescent="0.3">
      <c r="A12" s="1">
        <v>2000</v>
      </c>
      <c r="B12">
        <v>3</v>
      </c>
      <c r="C12">
        <v>0.7</v>
      </c>
    </row>
    <row r="13" spans="1:3" x14ac:dyDescent="0.3">
      <c r="A13" s="1">
        <v>2001</v>
      </c>
      <c r="B13">
        <v>3</v>
      </c>
      <c r="C13">
        <v>0.7</v>
      </c>
    </row>
    <row r="14" spans="1:3" x14ac:dyDescent="0.3">
      <c r="A14" s="1">
        <v>2002</v>
      </c>
      <c r="B14">
        <v>3</v>
      </c>
      <c r="C14">
        <v>0.7</v>
      </c>
    </row>
    <row r="15" spans="1:3" x14ac:dyDescent="0.3">
      <c r="A15" s="1">
        <v>2003</v>
      </c>
      <c r="B15">
        <v>3</v>
      </c>
      <c r="C15">
        <v>0.7</v>
      </c>
    </row>
    <row r="16" spans="1:3" x14ac:dyDescent="0.3">
      <c r="A16" s="1">
        <v>2004</v>
      </c>
      <c r="B16">
        <v>3</v>
      </c>
      <c r="C16">
        <v>0.7</v>
      </c>
    </row>
    <row r="17" spans="1:3" x14ac:dyDescent="0.3">
      <c r="A17" s="1">
        <v>2005</v>
      </c>
      <c r="B17">
        <v>3</v>
      </c>
      <c r="C17">
        <v>0.7</v>
      </c>
    </row>
    <row r="18" spans="1:3" x14ac:dyDescent="0.3">
      <c r="A18" s="1">
        <v>2006</v>
      </c>
      <c r="B18">
        <v>3</v>
      </c>
      <c r="C18">
        <v>0.7</v>
      </c>
    </row>
    <row r="19" spans="1:3" x14ac:dyDescent="0.3">
      <c r="A19" s="1">
        <v>2007</v>
      </c>
      <c r="B19">
        <v>3</v>
      </c>
      <c r="C19">
        <v>0.7</v>
      </c>
    </row>
    <row r="20" spans="1:3" x14ac:dyDescent="0.3">
      <c r="A20" s="1">
        <v>2008</v>
      </c>
      <c r="B20">
        <v>3</v>
      </c>
      <c r="C20">
        <v>0.7</v>
      </c>
    </row>
    <row r="21" spans="1:3" x14ac:dyDescent="0.3">
      <c r="A21" s="1">
        <v>2009</v>
      </c>
      <c r="B21">
        <v>3</v>
      </c>
      <c r="C21">
        <v>0.7</v>
      </c>
    </row>
    <row r="22" spans="1:3" x14ac:dyDescent="0.3">
      <c r="A22" s="1">
        <v>2010</v>
      </c>
      <c r="B22">
        <v>3</v>
      </c>
      <c r="C22">
        <v>0.7</v>
      </c>
    </row>
    <row r="23" spans="1:3" x14ac:dyDescent="0.3">
      <c r="A23" s="1">
        <v>2011</v>
      </c>
      <c r="B23">
        <v>3</v>
      </c>
      <c r="C23">
        <v>0.7</v>
      </c>
    </row>
    <row r="24" spans="1:3" x14ac:dyDescent="0.3">
      <c r="A24" s="1">
        <v>2012</v>
      </c>
      <c r="B24">
        <v>3</v>
      </c>
      <c r="C24">
        <v>0.7</v>
      </c>
    </row>
    <row r="25" spans="1:3" x14ac:dyDescent="0.3">
      <c r="A25" s="1">
        <v>2013</v>
      </c>
      <c r="B25">
        <v>3</v>
      </c>
      <c r="C25">
        <v>0.7</v>
      </c>
    </row>
    <row r="26" spans="1:3" x14ac:dyDescent="0.3">
      <c r="A26" s="1">
        <v>2014</v>
      </c>
      <c r="B26">
        <v>3</v>
      </c>
      <c r="C26">
        <v>0.7</v>
      </c>
    </row>
    <row r="27" spans="1:3" x14ac:dyDescent="0.3">
      <c r="A27" s="1">
        <v>2015</v>
      </c>
      <c r="B27">
        <v>3</v>
      </c>
      <c r="C27">
        <v>0.7</v>
      </c>
    </row>
    <row r="28" spans="1:3" x14ac:dyDescent="0.3">
      <c r="A28" s="1">
        <v>2016</v>
      </c>
      <c r="B28">
        <v>3</v>
      </c>
      <c r="C28">
        <v>0.7</v>
      </c>
    </row>
    <row r="29" spans="1:3" x14ac:dyDescent="0.3">
      <c r="A29" s="1">
        <v>2017</v>
      </c>
      <c r="B29">
        <v>3</v>
      </c>
      <c r="C29">
        <v>0.7</v>
      </c>
    </row>
    <row r="30" spans="1:3" x14ac:dyDescent="0.3">
      <c r="A30" s="1">
        <v>2018</v>
      </c>
      <c r="B30">
        <v>3</v>
      </c>
      <c r="C30">
        <v>0.7</v>
      </c>
    </row>
    <row r="31" spans="1:3" x14ac:dyDescent="0.3">
      <c r="A31" s="1">
        <v>2019</v>
      </c>
      <c r="B31">
        <v>3</v>
      </c>
      <c r="C31">
        <v>0.7</v>
      </c>
    </row>
    <row r="32" spans="1:3" x14ac:dyDescent="0.3">
      <c r="A32" s="1">
        <v>2020</v>
      </c>
      <c r="B32">
        <v>3</v>
      </c>
      <c r="C32">
        <v>0.7</v>
      </c>
    </row>
    <row r="33" spans="1:3" x14ac:dyDescent="0.3">
      <c r="A33" s="1">
        <v>2021</v>
      </c>
      <c r="B33">
        <v>3</v>
      </c>
      <c r="C33">
        <v>0.7</v>
      </c>
    </row>
    <row r="34" spans="1:3" x14ac:dyDescent="0.3">
      <c r="A34" s="1">
        <v>2022</v>
      </c>
      <c r="B34">
        <v>3</v>
      </c>
      <c r="C34">
        <v>0.7</v>
      </c>
    </row>
    <row r="35" spans="1:3" x14ac:dyDescent="0.3">
      <c r="A35" s="1">
        <v>2023</v>
      </c>
      <c r="B35">
        <v>3</v>
      </c>
      <c r="C35">
        <v>0.7</v>
      </c>
    </row>
    <row r="36" spans="1:3" x14ac:dyDescent="0.3">
      <c r="A36" s="1">
        <v>2024</v>
      </c>
      <c r="B36">
        <v>3</v>
      </c>
      <c r="C36">
        <v>0.7</v>
      </c>
    </row>
    <row r="37" spans="1:3" x14ac:dyDescent="0.3">
      <c r="A37" s="1">
        <v>2025</v>
      </c>
      <c r="B37">
        <v>2.97</v>
      </c>
      <c r="C37">
        <v>0.69</v>
      </c>
    </row>
    <row r="38" spans="1:3" x14ac:dyDescent="0.3">
      <c r="A38" s="1">
        <v>2026</v>
      </c>
      <c r="B38">
        <v>2.94</v>
      </c>
      <c r="C38">
        <v>0.68</v>
      </c>
    </row>
    <row r="39" spans="1:3" x14ac:dyDescent="0.3">
      <c r="A39" s="1">
        <v>2027</v>
      </c>
      <c r="B39">
        <v>2.91</v>
      </c>
      <c r="C39">
        <v>0.67</v>
      </c>
    </row>
    <row r="40" spans="1:3" x14ac:dyDescent="0.3">
      <c r="A40" s="1">
        <v>2028</v>
      </c>
      <c r="B40">
        <v>2.88</v>
      </c>
      <c r="C40">
        <v>0.66</v>
      </c>
    </row>
    <row r="41" spans="1:3" x14ac:dyDescent="0.3">
      <c r="A41" s="1">
        <v>2029</v>
      </c>
      <c r="B41">
        <v>2.85</v>
      </c>
      <c r="C41">
        <v>0.65</v>
      </c>
    </row>
    <row r="42" spans="1:3" x14ac:dyDescent="0.3">
      <c r="A42" s="1">
        <v>2030</v>
      </c>
      <c r="B42">
        <v>2.82</v>
      </c>
      <c r="C42">
        <v>0.64</v>
      </c>
    </row>
    <row r="43" spans="1:3" x14ac:dyDescent="0.3">
      <c r="A43" s="1">
        <v>2031</v>
      </c>
      <c r="B43">
        <v>2.79</v>
      </c>
      <c r="C43">
        <v>0.63</v>
      </c>
    </row>
    <row r="44" spans="1:3" x14ac:dyDescent="0.3">
      <c r="A44" s="1">
        <v>2032</v>
      </c>
      <c r="B44">
        <v>2.76</v>
      </c>
      <c r="C44">
        <v>0.62</v>
      </c>
    </row>
    <row r="45" spans="1:3" x14ac:dyDescent="0.3">
      <c r="A45" s="1">
        <v>2033</v>
      </c>
      <c r="B45">
        <v>2.73</v>
      </c>
      <c r="C45">
        <v>0.61</v>
      </c>
    </row>
    <row r="46" spans="1:3" x14ac:dyDescent="0.3">
      <c r="A46" s="1">
        <v>2034</v>
      </c>
      <c r="B46">
        <v>2.7</v>
      </c>
      <c r="C46">
        <v>0.6</v>
      </c>
    </row>
    <row r="47" spans="1:3" x14ac:dyDescent="0.3">
      <c r="A47" s="1">
        <v>2035</v>
      </c>
      <c r="B47">
        <v>2.67</v>
      </c>
      <c r="C47">
        <v>0.59</v>
      </c>
    </row>
    <row r="48" spans="1:3" x14ac:dyDescent="0.3">
      <c r="A48" s="1">
        <v>2036</v>
      </c>
      <c r="B48">
        <v>2.64</v>
      </c>
      <c r="C48">
        <v>0.57999999999999996</v>
      </c>
    </row>
    <row r="49" spans="1:3" x14ac:dyDescent="0.3">
      <c r="A49" s="1">
        <v>2037</v>
      </c>
      <c r="B49">
        <v>2.61</v>
      </c>
      <c r="C49">
        <v>0.56999999999999995</v>
      </c>
    </row>
    <row r="50" spans="1:3" x14ac:dyDescent="0.3">
      <c r="A50" s="1">
        <v>2038</v>
      </c>
      <c r="B50">
        <v>2.58</v>
      </c>
      <c r="C50">
        <v>0.56000000000000005</v>
      </c>
    </row>
    <row r="51" spans="1:3" x14ac:dyDescent="0.3">
      <c r="A51" s="1">
        <v>2039</v>
      </c>
      <c r="B51">
        <v>2.5499999999999998</v>
      </c>
      <c r="C51">
        <v>0.55000000000000004</v>
      </c>
    </row>
    <row r="52" spans="1:3" x14ac:dyDescent="0.3">
      <c r="A52" s="1">
        <v>2040</v>
      </c>
      <c r="B52">
        <v>2.52</v>
      </c>
      <c r="C52">
        <v>0.55000000000000004</v>
      </c>
    </row>
    <row r="53" spans="1:3" x14ac:dyDescent="0.3">
      <c r="A53" s="1">
        <v>2041</v>
      </c>
      <c r="B53">
        <v>2.4900000000000002</v>
      </c>
      <c r="C53">
        <v>0.55000000000000004</v>
      </c>
    </row>
    <row r="54" spans="1:3" x14ac:dyDescent="0.3">
      <c r="A54" s="1">
        <v>2042</v>
      </c>
      <c r="B54">
        <v>2.46</v>
      </c>
      <c r="C54">
        <v>0.55000000000000004</v>
      </c>
    </row>
    <row r="55" spans="1:3" x14ac:dyDescent="0.3">
      <c r="A55" s="1">
        <v>2043</v>
      </c>
      <c r="B55">
        <v>2.4300000000000002</v>
      </c>
      <c r="C55">
        <v>0.55000000000000004</v>
      </c>
    </row>
    <row r="56" spans="1:3" x14ac:dyDescent="0.3">
      <c r="A56" s="1">
        <v>2044</v>
      </c>
      <c r="B56">
        <v>2.4</v>
      </c>
      <c r="C56">
        <v>0.55000000000000004</v>
      </c>
    </row>
    <row r="57" spans="1:3" x14ac:dyDescent="0.3">
      <c r="A57" s="1">
        <v>2045</v>
      </c>
      <c r="B57">
        <v>2.37</v>
      </c>
      <c r="C57">
        <v>0.55000000000000004</v>
      </c>
    </row>
    <row r="58" spans="1:3" x14ac:dyDescent="0.3">
      <c r="A58" s="1">
        <v>2046</v>
      </c>
      <c r="B58">
        <v>2.34</v>
      </c>
      <c r="C58">
        <v>0.55000000000000004</v>
      </c>
    </row>
    <row r="59" spans="1:3" x14ac:dyDescent="0.3">
      <c r="A59" s="1">
        <v>2047</v>
      </c>
      <c r="B59">
        <v>2.31</v>
      </c>
      <c r="C59">
        <v>0.55000000000000004</v>
      </c>
    </row>
    <row r="60" spans="1:3" x14ac:dyDescent="0.3">
      <c r="A60" s="1">
        <v>2048</v>
      </c>
      <c r="B60">
        <v>2.28000000000001</v>
      </c>
      <c r="C60">
        <v>0.55000000000000004</v>
      </c>
    </row>
    <row r="61" spans="1:3" x14ac:dyDescent="0.3">
      <c r="A61" s="1">
        <v>2049</v>
      </c>
      <c r="B61">
        <v>2.25</v>
      </c>
      <c r="C61">
        <v>0.55000000000000004</v>
      </c>
    </row>
    <row r="62" spans="1:3" x14ac:dyDescent="0.3">
      <c r="A62" s="1">
        <v>2050</v>
      </c>
      <c r="B62">
        <v>2.22000000000001</v>
      </c>
      <c r="C62">
        <v>0.55000000000000004</v>
      </c>
    </row>
    <row r="63" spans="1:3" x14ac:dyDescent="0.3">
      <c r="A63" s="1">
        <v>2051</v>
      </c>
      <c r="B63">
        <v>2.19</v>
      </c>
      <c r="C63">
        <v>0.55000000000000004</v>
      </c>
    </row>
    <row r="64" spans="1:3" x14ac:dyDescent="0.3">
      <c r="A64" s="1">
        <v>2052</v>
      </c>
      <c r="B64">
        <v>2.1600000000000099</v>
      </c>
      <c r="C64">
        <v>0.55000000000000004</v>
      </c>
    </row>
    <row r="65" spans="1:3" x14ac:dyDescent="0.3">
      <c r="A65" s="1">
        <v>2053</v>
      </c>
      <c r="B65">
        <v>2.1300000000000101</v>
      </c>
      <c r="C65">
        <v>0.55000000000000004</v>
      </c>
    </row>
    <row r="66" spans="1:3" x14ac:dyDescent="0.3">
      <c r="A66" s="1">
        <v>2054</v>
      </c>
      <c r="B66">
        <v>2.1000000000000099</v>
      </c>
      <c r="C66">
        <v>0.55000000000000004</v>
      </c>
    </row>
    <row r="67" spans="1:3" x14ac:dyDescent="0.3">
      <c r="A67" s="1">
        <v>2055</v>
      </c>
      <c r="B67">
        <v>2.0700000000000101</v>
      </c>
      <c r="C67">
        <v>0.55000000000000004</v>
      </c>
    </row>
    <row r="68" spans="1:3" x14ac:dyDescent="0.3">
      <c r="A68" s="1">
        <v>2056</v>
      </c>
      <c r="B68">
        <v>2.0400000000000098</v>
      </c>
      <c r="C68">
        <v>0.55000000000000004</v>
      </c>
    </row>
    <row r="69" spans="1:3" x14ac:dyDescent="0.3">
      <c r="A69" s="1">
        <v>2057</v>
      </c>
      <c r="B69">
        <v>2.01000000000001</v>
      </c>
      <c r="C69">
        <v>0.55000000000000004</v>
      </c>
    </row>
    <row r="70" spans="1:3" x14ac:dyDescent="0.3">
      <c r="A70" s="1">
        <v>2058</v>
      </c>
      <c r="B70">
        <v>1.98000000000001</v>
      </c>
      <c r="C70">
        <v>0.55000000000000004</v>
      </c>
    </row>
    <row r="71" spans="1:3" x14ac:dyDescent="0.3">
      <c r="A71" s="1">
        <v>2059</v>
      </c>
      <c r="B71">
        <v>1.9500000000000099</v>
      </c>
      <c r="C71">
        <v>0.55000000000000004</v>
      </c>
    </row>
    <row r="72" spans="1:3" x14ac:dyDescent="0.3">
      <c r="A72" s="1">
        <v>2060</v>
      </c>
      <c r="B72">
        <v>1.9200000000000099</v>
      </c>
      <c r="C72">
        <v>0.55000000000000004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2"/>
  <sheetViews>
    <sheetView workbookViewId="0">
      <selection activeCell="F11" sqref="F11"/>
    </sheetView>
  </sheetViews>
  <sheetFormatPr baseColWidth="10" defaultRowHeight="14.4" x14ac:dyDescent="0.3"/>
  <cols>
    <col min="1" max="1" width="10.6640625" style="1"/>
  </cols>
  <sheetData>
    <row r="1" spans="1:3" ht="15.6" x14ac:dyDescent="0.35">
      <c r="A1" s="1" t="s">
        <v>0</v>
      </c>
      <c r="B1" s="1" t="s">
        <v>88</v>
      </c>
      <c r="C1" s="1" t="s">
        <v>89</v>
      </c>
    </row>
    <row r="2" spans="1:3" x14ac:dyDescent="0.3">
      <c r="A2" s="1">
        <v>1990</v>
      </c>
      <c r="B2">
        <v>71.428571428571402</v>
      </c>
      <c r="C2">
        <v>108.166666666667</v>
      </c>
    </row>
    <row r="3" spans="1:3" x14ac:dyDescent="0.3">
      <c r="A3" s="1">
        <v>1991</v>
      </c>
      <c r="B3">
        <v>71.428571428571402</v>
      </c>
      <c r="C3">
        <v>108.166666666667</v>
      </c>
    </row>
    <row r="4" spans="1:3" x14ac:dyDescent="0.3">
      <c r="A4" s="1">
        <v>1992</v>
      </c>
      <c r="B4">
        <v>71.428571428571402</v>
      </c>
      <c r="C4">
        <v>108.166666666667</v>
      </c>
    </row>
    <row r="5" spans="1:3" x14ac:dyDescent="0.3">
      <c r="A5" s="1">
        <v>1993</v>
      </c>
      <c r="B5">
        <v>71.428571428571402</v>
      </c>
      <c r="C5">
        <v>108.166666666667</v>
      </c>
    </row>
    <row r="6" spans="1:3" x14ac:dyDescent="0.3">
      <c r="A6" s="1">
        <v>1994</v>
      </c>
      <c r="B6">
        <v>71.428571428571402</v>
      </c>
      <c r="C6">
        <v>108.166666666667</v>
      </c>
    </row>
    <row r="7" spans="1:3" x14ac:dyDescent="0.3">
      <c r="A7" s="1">
        <v>1995</v>
      </c>
      <c r="B7">
        <v>71.428571428571402</v>
      </c>
      <c r="C7">
        <v>108.166666666667</v>
      </c>
    </row>
    <row r="8" spans="1:3" x14ac:dyDescent="0.3">
      <c r="A8" s="1">
        <v>1996</v>
      </c>
      <c r="B8">
        <v>71.428571428571402</v>
      </c>
      <c r="C8">
        <v>108.166666666667</v>
      </c>
    </row>
    <row r="9" spans="1:3" x14ac:dyDescent="0.3">
      <c r="A9" s="1">
        <v>1997</v>
      </c>
      <c r="B9">
        <v>71.428571428571402</v>
      </c>
      <c r="C9">
        <v>108.166666666667</v>
      </c>
    </row>
    <row r="10" spans="1:3" x14ac:dyDescent="0.3">
      <c r="A10" s="1">
        <v>1998</v>
      </c>
      <c r="B10">
        <v>71.428571428571402</v>
      </c>
      <c r="C10">
        <v>108.166666666667</v>
      </c>
    </row>
    <row r="11" spans="1:3" x14ac:dyDescent="0.3">
      <c r="A11" s="1">
        <v>1999</v>
      </c>
      <c r="B11">
        <v>71.428571428571402</v>
      </c>
      <c r="C11">
        <v>108.166666666667</v>
      </c>
    </row>
    <row r="12" spans="1:3" x14ac:dyDescent="0.3">
      <c r="A12" s="1">
        <v>2000</v>
      </c>
      <c r="B12">
        <v>71.428571428571402</v>
      </c>
      <c r="C12">
        <v>108.166666666667</v>
      </c>
    </row>
    <row r="13" spans="1:3" x14ac:dyDescent="0.3">
      <c r="A13" s="1">
        <v>2001</v>
      </c>
      <c r="B13">
        <v>71.428571428571402</v>
      </c>
      <c r="C13">
        <v>108.166666666667</v>
      </c>
    </row>
    <row r="14" spans="1:3" x14ac:dyDescent="0.3">
      <c r="A14" s="1">
        <v>2002</v>
      </c>
      <c r="B14">
        <v>71.428571428571402</v>
      </c>
      <c r="C14">
        <v>108.166666666667</v>
      </c>
    </row>
    <row r="15" spans="1:3" x14ac:dyDescent="0.3">
      <c r="A15" s="1">
        <v>2003</v>
      </c>
      <c r="B15">
        <v>71.428571428571402</v>
      </c>
      <c r="C15">
        <v>108.166666666667</v>
      </c>
    </row>
    <row r="16" spans="1:3" x14ac:dyDescent="0.3">
      <c r="A16" s="1">
        <v>2004</v>
      </c>
      <c r="B16">
        <v>71.428571428571402</v>
      </c>
      <c r="C16">
        <v>108.166666666667</v>
      </c>
    </row>
    <row r="17" spans="1:3" x14ac:dyDescent="0.3">
      <c r="A17" s="1">
        <v>2005</v>
      </c>
      <c r="B17">
        <v>71.428571428571402</v>
      </c>
      <c r="C17">
        <v>108.166666666667</v>
      </c>
    </row>
    <row r="18" spans="1:3" x14ac:dyDescent="0.3">
      <c r="A18" s="1">
        <v>2006</v>
      </c>
      <c r="B18">
        <v>71.428571428571402</v>
      </c>
      <c r="C18">
        <v>108.166666666667</v>
      </c>
    </row>
    <row r="19" spans="1:3" x14ac:dyDescent="0.3">
      <c r="A19" s="1">
        <v>2007</v>
      </c>
      <c r="B19">
        <v>71.428571428571402</v>
      </c>
      <c r="C19">
        <v>108.166666666667</v>
      </c>
    </row>
    <row r="20" spans="1:3" x14ac:dyDescent="0.3">
      <c r="A20" s="1">
        <v>2008</v>
      </c>
      <c r="B20">
        <v>71.428571428571402</v>
      </c>
      <c r="C20">
        <v>108.166666666667</v>
      </c>
    </row>
    <row r="21" spans="1:3" x14ac:dyDescent="0.3">
      <c r="A21" s="1">
        <v>2009</v>
      </c>
      <c r="B21">
        <v>71.428571428571402</v>
      </c>
      <c r="C21">
        <v>108.166666666667</v>
      </c>
    </row>
    <row r="22" spans="1:3" x14ac:dyDescent="0.3">
      <c r="A22" s="1">
        <v>2010</v>
      </c>
      <c r="B22">
        <v>71.428571428571402</v>
      </c>
      <c r="C22">
        <v>108.166666666667</v>
      </c>
    </row>
    <row r="23" spans="1:3" x14ac:dyDescent="0.3">
      <c r="A23" s="1">
        <v>2011</v>
      </c>
      <c r="B23">
        <v>71.428571428571402</v>
      </c>
      <c r="C23">
        <v>108.166666666667</v>
      </c>
    </row>
    <row r="24" spans="1:3" x14ac:dyDescent="0.3">
      <c r="A24" s="1">
        <v>2012</v>
      </c>
      <c r="B24">
        <v>71.428571428571402</v>
      </c>
      <c r="C24">
        <v>108.166666666667</v>
      </c>
    </row>
    <row r="25" spans="1:3" x14ac:dyDescent="0.3">
      <c r="A25" s="1">
        <v>2013</v>
      </c>
      <c r="B25">
        <v>71.428571428571402</v>
      </c>
      <c r="C25">
        <v>108.166666666667</v>
      </c>
    </row>
    <row r="26" spans="1:3" x14ac:dyDescent="0.3">
      <c r="A26" s="1">
        <v>2014</v>
      </c>
      <c r="B26">
        <v>71.428571428571402</v>
      </c>
      <c r="C26">
        <v>108.166666666667</v>
      </c>
    </row>
    <row r="27" spans="1:3" x14ac:dyDescent="0.3">
      <c r="A27" s="1">
        <v>2015</v>
      </c>
      <c r="B27">
        <v>71.428571428571402</v>
      </c>
      <c r="C27">
        <v>108.166666666667</v>
      </c>
    </row>
    <row r="28" spans="1:3" x14ac:dyDescent="0.3">
      <c r="A28" s="1">
        <v>2016</v>
      </c>
      <c r="B28">
        <v>71.428571428571402</v>
      </c>
      <c r="C28">
        <v>108.166666666667</v>
      </c>
    </row>
    <row r="29" spans="1:3" x14ac:dyDescent="0.3">
      <c r="A29" s="1">
        <v>2017</v>
      </c>
      <c r="B29">
        <v>71.428571428571402</v>
      </c>
      <c r="C29">
        <v>108.166666666667</v>
      </c>
    </row>
    <row r="30" spans="1:3" x14ac:dyDescent="0.3">
      <c r="A30" s="1">
        <v>2018</v>
      </c>
      <c r="B30">
        <v>71.428571428571402</v>
      </c>
      <c r="C30">
        <v>108.166666666667</v>
      </c>
    </row>
    <row r="31" spans="1:3" x14ac:dyDescent="0.3">
      <c r="A31" s="1">
        <v>2019</v>
      </c>
      <c r="B31">
        <v>71.428571428571402</v>
      </c>
      <c r="C31">
        <v>108.166666666667</v>
      </c>
    </row>
    <row r="32" spans="1:3" x14ac:dyDescent="0.3">
      <c r="A32" s="1">
        <v>2020</v>
      </c>
      <c r="B32">
        <v>71.428571428571402</v>
      </c>
      <c r="C32">
        <v>108.166666666667</v>
      </c>
    </row>
    <row r="33" spans="1:3" x14ac:dyDescent="0.3">
      <c r="A33" s="1">
        <v>2021</v>
      </c>
      <c r="B33">
        <v>71.428571428571402</v>
      </c>
      <c r="C33">
        <v>108.166666666667</v>
      </c>
    </row>
    <row r="34" spans="1:3" x14ac:dyDescent="0.3">
      <c r="A34" s="1">
        <v>2022</v>
      </c>
      <c r="B34">
        <v>71.428571428571402</v>
      </c>
      <c r="C34">
        <v>108.166666666667</v>
      </c>
    </row>
    <row r="35" spans="1:3" x14ac:dyDescent="0.3">
      <c r="A35" s="1">
        <v>2023</v>
      </c>
      <c r="B35">
        <v>71.428571428571402</v>
      </c>
      <c r="C35">
        <v>108.166666666667</v>
      </c>
    </row>
    <row r="36" spans="1:3" x14ac:dyDescent="0.3">
      <c r="A36" s="1">
        <v>2024</v>
      </c>
      <c r="B36">
        <v>71.428571428571431</v>
      </c>
      <c r="C36">
        <v>108.16666666666664</v>
      </c>
    </row>
    <row r="37" spans="1:3" x14ac:dyDescent="0.3">
      <c r="A37" s="1">
        <v>2025</v>
      </c>
      <c r="B37">
        <v>71.428571428571431</v>
      </c>
      <c r="C37">
        <v>108.16666666666664</v>
      </c>
    </row>
    <row r="38" spans="1:3" x14ac:dyDescent="0.3">
      <c r="A38" s="1">
        <v>2026</v>
      </c>
      <c r="B38">
        <v>71.428571428571431</v>
      </c>
      <c r="C38">
        <v>106.46666666666664</v>
      </c>
    </row>
    <row r="39" spans="1:3" x14ac:dyDescent="0.3">
      <c r="A39" s="1">
        <v>2027</v>
      </c>
      <c r="B39">
        <v>71.428571428571431</v>
      </c>
      <c r="C39">
        <v>104.76666666666664</v>
      </c>
    </row>
    <row r="40" spans="1:3" x14ac:dyDescent="0.3">
      <c r="A40" s="1">
        <v>2028</v>
      </c>
      <c r="B40">
        <v>71.428571428571431</v>
      </c>
      <c r="C40">
        <v>103.06666666666663</v>
      </c>
    </row>
    <row r="41" spans="1:3" x14ac:dyDescent="0.3">
      <c r="A41" s="1">
        <v>2029</v>
      </c>
      <c r="B41">
        <v>71.428571428571431</v>
      </c>
      <c r="C41">
        <v>101.36666666666663</v>
      </c>
    </row>
    <row r="42" spans="1:3" x14ac:dyDescent="0.3">
      <c r="A42" s="1">
        <v>2030</v>
      </c>
      <c r="B42">
        <v>71.428571428571431</v>
      </c>
      <c r="C42">
        <v>99.666666666666629</v>
      </c>
    </row>
    <row r="43" spans="1:3" x14ac:dyDescent="0.3">
      <c r="A43" s="1">
        <v>2031</v>
      </c>
      <c r="B43">
        <v>71.428571428571431</v>
      </c>
      <c r="C43">
        <v>97.966666666666626</v>
      </c>
    </row>
    <row r="44" spans="1:3" x14ac:dyDescent="0.3">
      <c r="A44" s="1">
        <v>2032</v>
      </c>
      <c r="B44">
        <v>71.428571428571431</v>
      </c>
      <c r="C44">
        <v>96.266666666666623</v>
      </c>
    </row>
    <row r="45" spans="1:3" x14ac:dyDescent="0.3">
      <c r="A45" s="1">
        <v>2033</v>
      </c>
      <c r="B45">
        <v>71.428571428571431</v>
      </c>
      <c r="C45">
        <v>94.56666666666662</v>
      </c>
    </row>
    <row r="46" spans="1:3" x14ac:dyDescent="0.3">
      <c r="A46" s="1">
        <v>2034</v>
      </c>
      <c r="B46">
        <v>71.428571428571431</v>
      </c>
      <c r="C46">
        <v>92.866666666666617</v>
      </c>
    </row>
    <row r="47" spans="1:3" x14ac:dyDescent="0.3">
      <c r="A47" s="1">
        <v>2035</v>
      </c>
      <c r="B47">
        <v>71.428571428571431</v>
      </c>
      <c r="C47">
        <v>91.166666666666615</v>
      </c>
    </row>
    <row r="48" spans="1:3" x14ac:dyDescent="0.3">
      <c r="A48" s="1">
        <v>2036</v>
      </c>
      <c r="B48">
        <v>71.428571428571431</v>
      </c>
      <c r="C48">
        <v>89.466666666666612</v>
      </c>
    </row>
    <row r="49" spans="1:3" x14ac:dyDescent="0.3">
      <c r="A49" s="1">
        <v>2037</v>
      </c>
      <c r="B49">
        <v>71.428571428571431</v>
      </c>
      <c r="C49">
        <v>87.766666666666609</v>
      </c>
    </row>
    <row r="50" spans="1:3" x14ac:dyDescent="0.3">
      <c r="A50" s="1">
        <v>2038</v>
      </c>
      <c r="B50">
        <v>71.428571428571431</v>
      </c>
      <c r="C50">
        <v>86.066666666666606</v>
      </c>
    </row>
    <row r="51" spans="1:3" x14ac:dyDescent="0.3">
      <c r="A51" s="1">
        <v>2039</v>
      </c>
      <c r="B51">
        <v>71.428571428571431</v>
      </c>
      <c r="C51">
        <v>84.366666666666603</v>
      </c>
    </row>
    <row r="52" spans="1:3" x14ac:dyDescent="0.3">
      <c r="A52" s="1">
        <v>2040</v>
      </c>
      <c r="B52">
        <v>71.428571428571431</v>
      </c>
      <c r="C52">
        <v>82.6666666666666</v>
      </c>
    </row>
    <row r="53" spans="1:3" x14ac:dyDescent="0.3">
      <c r="A53" s="1">
        <v>2041</v>
      </c>
      <c r="B53">
        <v>71.428571428571431</v>
      </c>
      <c r="C53">
        <v>80.966666666666598</v>
      </c>
    </row>
    <row r="54" spans="1:3" x14ac:dyDescent="0.3">
      <c r="A54" s="1">
        <v>2042</v>
      </c>
      <c r="B54">
        <v>71.428571428571431</v>
      </c>
      <c r="C54">
        <v>79.266666666666595</v>
      </c>
    </row>
    <row r="55" spans="1:3" x14ac:dyDescent="0.3">
      <c r="A55" s="1">
        <v>2043</v>
      </c>
      <c r="B55">
        <v>71.428571428571431</v>
      </c>
      <c r="C55">
        <v>77.566666666666592</v>
      </c>
    </row>
    <row r="56" spans="1:3" x14ac:dyDescent="0.3">
      <c r="A56" s="1">
        <v>2044</v>
      </c>
      <c r="B56">
        <v>71.428571428571431</v>
      </c>
      <c r="C56">
        <v>75.866666666666589</v>
      </c>
    </row>
    <row r="57" spans="1:3" x14ac:dyDescent="0.3">
      <c r="A57" s="1">
        <v>2045</v>
      </c>
      <c r="B57">
        <v>71.428571428571431</v>
      </c>
      <c r="C57">
        <v>74.166666666666586</v>
      </c>
    </row>
    <row r="58" spans="1:3" x14ac:dyDescent="0.3">
      <c r="A58" s="1">
        <v>2046</v>
      </c>
      <c r="B58">
        <v>71.428571428571431</v>
      </c>
      <c r="C58">
        <v>72.466666666666583</v>
      </c>
    </row>
    <row r="59" spans="1:3" x14ac:dyDescent="0.3">
      <c r="A59" s="1">
        <v>2047</v>
      </c>
      <c r="B59">
        <v>71.428571428571431</v>
      </c>
      <c r="C59">
        <v>70.76666666666658</v>
      </c>
    </row>
    <row r="60" spans="1:3" x14ac:dyDescent="0.3">
      <c r="A60" s="1">
        <v>2048</v>
      </c>
      <c r="B60">
        <v>71.428571428571431</v>
      </c>
      <c r="C60">
        <v>69.066666666666578</v>
      </c>
    </row>
    <row r="61" spans="1:3" x14ac:dyDescent="0.3">
      <c r="A61" s="1">
        <v>2049</v>
      </c>
      <c r="B61">
        <v>71.428571428571431</v>
      </c>
      <c r="C61">
        <v>67.366666666666575</v>
      </c>
    </row>
    <row r="62" spans="1:3" x14ac:dyDescent="0.3">
      <c r="A62" s="1">
        <v>2050</v>
      </c>
      <c r="B62">
        <v>71.428571428571431</v>
      </c>
      <c r="C62">
        <v>65.666666666666572</v>
      </c>
    </row>
    <row r="63" spans="1:3" x14ac:dyDescent="0.3">
      <c r="A63" s="1">
        <v>2051</v>
      </c>
      <c r="B63">
        <v>71.428571428571431</v>
      </c>
      <c r="C63">
        <v>63.966666666666569</v>
      </c>
    </row>
    <row r="64" spans="1:3" x14ac:dyDescent="0.3">
      <c r="A64" s="1">
        <v>2052</v>
      </c>
      <c r="B64">
        <v>71.428571428571431</v>
      </c>
      <c r="C64">
        <v>62.266666666666566</v>
      </c>
    </row>
    <row r="65" spans="1:3" x14ac:dyDescent="0.3">
      <c r="A65" s="1">
        <v>2053</v>
      </c>
      <c r="B65">
        <v>71.428571428571431</v>
      </c>
      <c r="C65">
        <v>60.566666666666563</v>
      </c>
    </row>
    <row r="66" spans="1:3" x14ac:dyDescent="0.3">
      <c r="A66" s="1">
        <v>2054</v>
      </c>
      <c r="B66">
        <v>71.428571428571431</v>
      </c>
      <c r="C66">
        <v>58.866666666666561</v>
      </c>
    </row>
    <row r="67" spans="1:3" x14ac:dyDescent="0.3">
      <c r="A67" s="1">
        <v>2055</v>
      </c>
      <c r="B67">
        <v>71.428571428571431</v>
      </c>
      <c r="C67">
        <v>57.166666666666558</v>
      </c>
    </row>
    <row r="68" spans="1:3" x14ac:dyDescent="0.3">
      <c r="A68" s="1">
        <v>2056</v>
      </c>
      <c r="B68">
        <v>71.428571428571431</v>
      </c>
      <c r="C68">
        <v>55.466666666666555</v>
      </c>
    </row>
    <row r="69" spans="1:3" x14ac:dyDescent="0.3">
      <c r="A69" s="1">
        <v>2057</v>
      </c>
      <c r="B69">
        <v>71.428571428571431</v>
      </c>
      <c r="C69">
        <v>53.766666666666552</v>
      </c>
    </row>
    <row r="70" spans="1:3" x14ac:dyDescent="0.3">
      <c r="A70" s="1">
        <v>2058</v>
      </c>
      <c r="B70">
        <v>71.428571428571431</v>
      </c>
      <c r="C70">
        <v>52.066666666666549</v>
      </c>
    </row>
    <row r="71" spans="1:3" x14ac:dyDescent="0.3">
      <c r="A71" s="1">
        <v>2059</v>
      </c>
      <c r="B71">
        <v>71.428571428571431</v>
      </c>
      <c r="C71">
        <v>50.366666666666546</v>
      </c>
    </row>
    <row r="72" spans="1:3" x14ac:dyDescent="0.3">
      <c r="A72" s="1">
        <v>2060</v>
      </c>
      <c r="B72">
        <v>71.428571428571431</v>
      </c>
      <c r="C72">
        <v>48.666666666666544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Cover</vt:lpstr>
      <vt:lpstr>New registration</vt:lpstr>
      <vt:lpstr>BEV_share</vt:lpstr>
      <vt:lpstr>Lifetime</vt:lpstr>
      <vt:lpstr>Population</vt:lpstr>
      <vt:lpstr>Passenger_km</vt:lpstr>
      <vt:lpstr>Occupancy rate</vt:lpstr>
      <vt:lpstr>Kilometrage</vt:lpstr>
      <vt:lpstr>Material_intensity</vt:lpstr>
      <vt:lpstr>Recovery_rates</vt:lpstr>
      <vt:lpstr>Env_impacts_primary_materials</vt:lpstr>
      <vt:lpstr>Env_impacts_secondary_materials</vt:lpstr>
      <vt:lpstr>Fuel_Consumption</vt:lpstr>
      <vt:lpstr>GHG_intensity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2026-06-23T20:19:46Z</dcterms:modified>
</cp:coreProperties>
</file>